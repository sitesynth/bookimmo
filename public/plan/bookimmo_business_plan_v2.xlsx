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Model" sheetId="1" state="visible" r:id="rId1"/>
    <sheet xmlns:r="http://schemas.openxmlformats.org/officeDocument/2006/relationships" name="Budget Apr-Aug (USD)" sheetId="2" state="visible" r:id="rId2"/>
    <sheet xmlns:r="http://schemas.openxmlformats.org/officeDocument/2006/relationships" name="Revenue Plan Sep+12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E8F0E8"/>
      </patternFill>
    </fill>
    <fill>
      <patternFill patternType="solid">
        <fgColor rgb="00DDE8F0"/>
      </patternFill>
    </fill>
    <fill>
      <patternFill patternType="solid">
        <fgColor rgb="00D9E8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" t="inlineStr">
        <is>
          <t>book.immo — Business Model v2</t>
        </is>
      </c>
      <c r="B1" s="2" t="inlineStr"/>
    </row>
    <row r="2">
      <c r="A2" t="inlineStr"/>
      <c r="B2" s="2" t="inlineStr"/>
    </row>
    <row r="3">
      <c r="A3" t="inlineStr">
        <is>
          <t>MISSION</t>
        </is>
      </c>
      <c r="B3" s="2" t="inlineStr">
        <is>
          <t>Отнять долю рынка у европейских агрегаторов (ImmoScout24, Immowelt), старт — Германия.</t>
        </is>
      </c>
    </row>
    <row r="4">
      <c r="A4" t="inlineStr"/>
      <c r="B4" s="2" t="inlineStr"/>
    </row>
    <row r="5">
      <c r="A5" s="3">
        <f>== FLYWHEEL ===</f>
        <v/>
      </c>
      <c r="B5" s="2" t="inlineStr"/>
    </row>
    <row r="6">
      <c r="A6" t="inlineStr">
        <is>
          <t>1. Supply (агентства)</t>
        </is>
      </c>
      <c r="B6" s="2" t="inlineStr">
        <is>
          <t>Локальные агентства подключают свои CRM к book.immo. Размещение БЕСПЛАТНО. Взамен — сплит комиссии при сделке.</t>
        </is>
      </c>
    </row>
    <row r="7">
      <c r="A7" t="inlineStr">
        <is>
          <t>2. Эксклюзивы</t>
        </is>
      </c>
      <c r="B7" s="2" t="inlineStr">
        <is>
          <t>Объекты попадают к нам из CRM ДО публикации на агрегаторах. Эксклюзивы — в топе выдачи по гео.</t>
        </is>
      </c>
    </row>
    <row r="8">
      <c r="A8" t="inlineStr">
        <is>
          <t>3. Насыщение базы</t>
        </is>
      </c>
      <c r="B8" s="2" t="inlineStr">
        <is>
          <t>Парсинг витрин ImmoScout24/Immowelt — бесплатное наполнение. Неэксклюзивно, но даёт полноту каталога и SEO-трафик.</t>
        </is>
      </c>
    </row>
    <row r="9">
      <c r="A9" t="inlineStr">
        <is>
          <t>4. Demand (B2C)</t>
        </is>
      </c>
      <c r="B9" s="2" t="inlineStr">
        <is>
          <t>Арендаторы/покупатели получают умный подбор + ИИ-автоматизацию: заявки, мониторинг, документы.</t>
        </is>
      </c>
    </row>
    <row r="10">
      <c r="A10" t="inlineStr">
        <is>
          <t>5. Монетизация</t>
        </is>
      </c>
      <c r="B10" s="2" t="inlineStr">
        <is>
          <t>Сделку закрывает агентство → комиссия делится между book.immo и маклером. Плюс pay-per-result ИИ-сервисы.</t>
        </is>
      </c>
    </row>
    <row r="11">
      <c r="A11" t="inlineStr">
        <is>
          <t>6. Доп. ценность агентствам</t>
        </is>
      </c>
      <c r="B11" s="2" t="inlineStr">
        <is>
          <t>Zolak.tech (virtual staging), ИИ-экспозе, квалифицированные лиды из B2C-базы.</t>
        </is>
      </c>
    </row>
    <row r="12">
      <c r="A12" t="inlineStr"/>
      <c r="B12" s="2" t="inlineStr"/>
    </row>
    <row r="13">
      <c r="A13" s="3">
        <f>== LEGAL ===</f>
        <v/>
      </c>
      <c r="B13" s="2" t="inlineStr"/>
    </row>
    <row r="14">
      <c r="A14" t="inlineStr">
        <is>
          <t>Wohnungsvermittlungsgesetz</t>
        </is>
      </c>
      <c r="B14" s="2" t="inlineStr">
        <is>
          <t>Нельзя брать с арендатора комиссию за посредничество аренды. B2C fee — плата за софт, не за посредничество.</t>
        </is>
      </c>
    </row>
    <row r="15">
      <c r="A15" t="inlineStr">
        <is>
          <t>Bestellerprinzip</t>
        </is>
      </c>
      <c r="B15" s="2" t="inlineStr">
        <is>
          <t>Комиссию платит собственник маклеру. Сплит book.immo — из B2B-агентского договора. Легально.</t>
        </is>
      </c>
    </row>
    <row r="16">
      <c r="A16" t="inlineStr">
        <is>
          <t>GDPR</t>
        </is>
      </c>
      <c r="B16" s="2" t="inlineStr">
        <is>
          <t>DPA-договоры с агентствами; consent B2C-клиентов на передачу заявки.</t>
        </is>
      </c>
    </row>
    <row r="17">
      <c r="A17" t="inlineStr">
        <is>
          <t>Парсинг</t>
        </is>
      </c>
      <c r="B17" s="2" t="inlineStr">
        <is>
          <t>Публичные витрины; соблюдать ToS-риски. Эксклюзивы снижают зависимость от парсинга.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book.immo — Pre-Launch Budget (Apr-Aug 2026, USD)</t>
        </is>
      </c>
    </row>
    <row r="2">
      <c r="A2" s="4" t="inlineStr">
        <is>
          <t>Инвестиция: $50,000. Потрачено на запуск: $30,000. Резерв: $20,000.</t>
        </is>
      </c>
    </row>
    <row r="4">
      <c r="A4" s="5" t="inlineStr">
        <is>
          <t>Category</t>
        </is>
      </c>
      <c r="B4" s="5" t="inlineStr">
        <is>
          <t>Apr</t>
        </is>
      </c>
      <c r="C4" s="5" t="inlineStr">
        <is>
          <t>May</t>
        </is>
      </c>
      <c r="D4" s="5" t="inlineStr">
        <is>
          <t>Jun</t>
        </is>
      </c>
      <c r="E4" s="5" t="inlineStr">
        <is>
          <t>Jul</t>
        </is>
      </c>
      <c r="F4" s="5" t="inlineStr">
        <is>
          <t>Aug</t>
        </is>
      </c>
      <c r="G4" s="5" t="inlineStr">
        <is>
          <t>TOTAL</t>
        </is>
      </c>
    </row>
    <row r="5">
      <c r="A5" t="inlineStr">
        <is>
          <t>Разработка (фронт / бэк / парсер)</t>
        </is>
      </c>
      <c r="B5" t="n">
        <v>2800</v>
      </c>
      <c r="C5" t="n">
        <v>2800</v>
      </c>
      <c r="D5" t="n">
        <v>2800</v>
      </c>
      <c r="E5" t="n">
        <v>2800</v>
      </c>
      <c r="F5" t="n">
        <v>2800</v>
      </c>
      <c r="G5">
        <f>SUM(B5:F5)</f>
        <v/>
      </c>
    </row>
    <row r="6">
      <c r="A6" t="inlineStr">
        <is>
          <t>AI / LLM API (автоматизация, письма)</t>
        </is>
      </c>
      <c r="B6" t="n">
        <v>200</v>
      </c>
      <c r="C6" t="n">
        <v>250</v>
      </c>
      <c r="D6" t="n">
        <v>300</v>
      </c>
      <c r="E6" t="n">
        <v>350</v>
      </c>
      <c r="F6" t="n">
        <v>400</v>
      </c>
      <c r="G6">
        <f>SUM(B6:F6)</f>
        <v/>
      </c>
    </row>
    <row r="7">
      <c r="A7" t="inlineStr">
        <is>
          <t>Дизайн / UX (Framer, ассеты, брендинг)</t>
        </is>
      </c>
      <c r="B7" t="n">
        <v>800</v>
      </c>
      <c r="C7" t="n">
        <v>700</v>
      </c>
      <c r="D7" t="n">
        <v>500</v>
      </c>
      <c r="E7" t="n">
        <v>300</v>
      </c>
      <c r="F7" t="n">
        <v>200</v>
      </c>
      <c r="G7">
        <f>SUM(B7:F7)</f>
        <v/>
      </c>
    </row>
    <row r="8">
      <c r="A8" t="inlineStr">
        <is>
          <t>Инфраструктура (Vercel, серверы, CMS, Mapbox, Resend)</t>
        </is>
      </c>
      <c r="B8" t="n">
        <v>350</v>
      </c>
      <c r="C8" t="n">
        <v>380</v>
      </c>
      <c r="D8" t="n">
        <v>400</v>
      </c>
      <c r="E8" t="n">
        <v>420</v>
      </c>
      <c r="F8" t="n">
        <v>450</v>
      </c>
      <c r="G8">
        <f>SUM(B8:F8)</f>
        <v/>
      </c>
    </row>
    <row r="9">
      <c r="A9" t="inlineStr">
        <is>
          <t>Data-инфраструктура (прокси, Chrome-ферма, capsolver)</t>
        </is>
      </c>
      <c r="B9" t="n">
        <v>250</v>
      </c>
      <c r="C9" t="n">
        <v>280</v>
      </c>
      <c r="D9" t="n">
        <v>300</v>
      </c>
      <c r="E9" t="n">
        <v>320</v>
      </c>
      <c r="F9" t="n">
        <v>350</v>
      </c>
      <c r="G9">
        <f>SUM(B9:F9)</f>
        <v/>
      </c>
    </row>
    <row r="10">
      <c r="A10" t="inlineStr">
        <is>
          <t>Tools &amp; Software</t>
        </is>
      </c>
      <c r="B10" t="n">
        <v>200</v>
      </c>
      <c r="C10" t="n">
        <v>200</v>
      </c>
      <c r="D10" t="n">
        <v>200</v>
      </c>
      <c r="E10" t="n">
        <v>200</v>
      </c>
      <c r="F10" t="n">
        <v>200</v>
      </c>
      <c r="G10">
        <f>SUM(B10:F10)</f>
        <v/>
      </c>
    </row>
    <row r="11">
      <c r="A11" t="inlineStr">
        <is>
          <t>Legal и юрлицо (договоры, DPA-шаблоны)</t>
        </is>
      </c>
      <c r="B11" t="n">
        <v>1200</v>
      </c>
      <c r="C11" t="n">
        <v>400</v>
      </c>
      <c r="D11" t="n">
        <v>300</v>
      </c>
      <c r="E11" t="n">
        <v>300</v>
      </c>
      <c r="F11" t="n">
        <v>300</v>
      </c>
      <c r="G11">
        <f>SUM(B11:F11)</f>
        <v/>
      </c>
    </row>
    <row r="12">
      <c r="A12" t="inlineStr">
        <is>
          <t>Домен и товарный знак (book.immo, TM)</t>
        </is>
      </c>
      <c r="B12" t="n">
        <v>900</v>
      </c>
      <c r="C12" t="n">
        <v>0</v>
      </c>
      <c r="D12" t="n">
        <v>0</v>
      </c>
      <c r="E12" t="n">
        <v>100</v>
      </c>
      <c r="F12" t="n">
        <v>0</v>
      </c>
      <c r="G12">
        <f>SUM(B12:F12)</f>
        <v/>
      </c>
    </row>
    <row r="13">
      <c r="A13" t="inlineStr">
        <is>
          <t>Pre-launch маркетинг (лендинг-тесты, SEO)</t>
        </is>
      </c>
      <c r="B13" t="n">
        <v>100</v>
      </c>
      <c r="C13" t="n">
        <v>200</v>
      </c>
      <c r="D13" t="n">
        <v>400</v>
      </c>
      <c r="E13" t="n">
        <v>600</v>
      </c>
      <c r="F13" t="n">
        <v>700</v>
      </c>
      <c r="G13">
        <f>SUM(B13:F13)</f>
        <v/>
      </c>
    </row>
    <row r="14">
      <c r="A14" t="inlineStr">
        <is>
          <t>Прочее / буфер</t>
        </is>
      </c>
      <c r="B14" t="n">
        <v>200</v>
      </c>
      <c r="C14" t="n">
        <v>290</v>
      </c>
      <c r="D14" t="n">
        <v>300</v>
      </c>
      <c r="E14" t="n">
        <v>310</v>
      </c>
      <c r="F14" t="n">
        <v>320</v>
      </c>
      <c r="G14">
        <f>SUM(B14:F14)</f>
        <v/>
      </c>
    </row>
    <row r="15">
      <c r="A15" s="6" t="inlineStr">
        <is>
          <t>TOTAL</t>
        </is>
      </c>
      <c r="B15" s="6">
        <f>SUM(B5:B14)</f>
        <v/>
      </c>
      <c r="C15" s="6">
        <f>SUM(C5:C14)</f>
        <v/>
      </c>
      <c r="D15" s="6">
        <f>SUM(D5:D14)</f>
        <v/>
      </c>
      <c r="E15" s="6">
        <f>SUM(E5:E14)</f>
        <v/>
      </c>
      <c r="F15" s="6">
        <f>SUM(F5:F14)</f>
        <v/>
      </c>
      <c r="G15" s="6">
        <f>SUM(G5:G14)</f>
        <v/>
      </c>
    </row>
    <row r="17">
      <c r="A17" s="7" t="inlineStr">
        <is>
          <t>Что построено:</t>
        </is>
      </c>
    </row>
    <row r="18">
      <c r="A18" t="inlineStr">
        <is>
          <t>• Сайт book.immo (React SPA, 5 языков, SEO-prerender, поиск по гео)</t>
        </is>
      </c>
    </row>
    <row r="19">
      <c r="A19" t="inlineStr">
        <is>
          <t>• Собственный бэкенд: PostgreSQL + API (auth, избранное, заявки) — без vendor lock-in</t>
        </is>
      </c>
    </row>
    <row r="20">
      <c r="A20" t="inlineStr">
        <is>
          <t>• Парсер ImmoScout24/Immowelt + ИИ-контакт-автоматизация (Chrome-extension pipeline)</t>
        </is>
      </c>
    </row>
    <row r="21">
      <c r="A21" t="inlineStr">
        <is>
          <t>• CMS (Directus) + email-инфраструктура (Resend) + Telegram-интеграция</t>
        </is>
      </c>
    </row>
    <row r="22">
      <c r="A22" t="inlineStr">
        <is>
          <t>• ИИ-автоподбор и автозаявки (MVP)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book.immo — Revenue Plan, Launch Sep 2026 (EUR, BASE case)</t>
        </is>
      </c>
    </row>
    <row r="2">
      <c r="A2" s="4" t="inlineStr">
        <is>
          <t>Модель: комиссионный сплит с агентствами + B2C pay-per-result.</t>
        </is>
      </c>
    </row>
    <row r="4">
      <c r="A4" s="5" t="inlineStr"/>
      <c r="B4" s="5" t="inlineStr">
        <is>
          <t>Sep</t>
        </is>
      </c>
      <c r="C4" s="5" t="inlineStr">
        <is>
          <t>Oct</t>
        </is>
      </c>
      <c r="D4" s="5" t="inlineStr">
        <is>
          <t>Nov</t>
        </is>
      </c>
      <c r="E4" s="5" t="inlineStr">
        <is>
          <t>Dec</t>
        </is>
      </c>
      <c r="F4" s="5" t="inlineStr">
        <is>
          <t>Jan</t>
        </is>
      </c>
      <c r="G4" s="5" t="inlineStr">
        <is>
          <t>Feb</t>
        </is>
      </c>
      <c r="H4" s="5" t="inlineStr">
        <is>
          <t>Mar</t>
        </is>
      </c>
      <c r="I4" s="5" t="inlineStr">
        <is>
          <t>Apr</t>
        </is>
      </c>
      <c r="J4" s="5" t="inlineStr">
        <is>
          <t>May</t>
        </is>
      </c>
      <c r="K4" s="5" t="inlineStr">
        <is>
          <t>Jun</t>
        </is>
      </c>
      <c r="L4" s="5" t="inlineStr">
        <is>
          <t>Jul</t>
        </is>
      </c>
      <c r="M4" s="5" t="inlineStr">
        <is>
          <t>Aug</t>
        </is>
      </c>
      <c r="N4" s="5" t="inlineStr">
        <is>
          <t>YEAR</t>
        </is>
      </c>
    </row>
    <row r="5">
      <c r="A5" s="3" t="inlineStr">
        <is>
          <t>DRIVERS</t>
        </is>
      </c>
    </row>
    <row r="6">
      <c r="A6" t="inlineStr">
        <is>
          <t>Active agencies (cum.)</t>
        </is>
      </c>
      <c r="B6" t="n">
        <v>3</v>
      </c>
      <c r="C6" t="n">
        <v>5</v>
      </c>
      <c r="D6" t="n">
        <v>8</v>
      </c>
      <c r="E6" t="n">
        <v>11</v>
      </c>
      <c r="F6" t="n">
        <v>14</v>
      </c>
      <c r="G6" t="n">
        <v>17</v>
      </c>
      <c r="H6" t="n">
        <v>20</v>
      </c>
      <c r="I6" t="n">
        <v>23</v>
      </c>
      <c r="J6" t="n">
        <v>26</v>
      </c>
      <c r="K6" t="n">
        <v>28</v>
      </c>
      <c r="L6" t="n">
        <v>30</v>
      </c>
      <c r="M6" t="n">
        <v>32</v>
      </c>
    </row>
    <row r="7">
      <c r="A7" t="inlineStr">
        <is>
          <t>Deals per agency / month</t>
        </is>
      </c>
      <c r="B7" t="n">
        <v>0.4</v>
      </c>
      <c r="C7" t="n">
        <v>0.5</v>
      </c>
      <c r="D7" t="n">
        <v>0.6</v>
      </c>
      <c r="E7" t="n">
        <v>0.6</v>
      </c>
      <c r="F7" t="n">
        <v>0.8</v>
      </c>
      <c r="G7" t="n">
        <v>0.9</v>
      </c>
      <c r="H7" t="n">
        <v>1</v>
      </c>
      <c r="I7" t="n">
        <v>1.1</v>
      </c>
      <c r="J7" t="n">
        <v>1.2</v>
      </c>
      <c r="K7" t="n">
        <v>1.3</v>
      </c>
      <c r="L7" t="n">
        <v>1.4</v>
      </c>
      <c r="M7" t="n">
        <v>1.5</v>
      </c>
    </row>
    <row r="8">
      <c r="A8" t="inlineStr">
        <is>
          <t xml:space="preserve">  → Closed deals</t>
        </is>
      </c>
      <c r="B8">
        <f>ROUND(B6*B7,0)</f>
        <v/>
      </c>
      <c r="C8">
        <f>ROUND(C6*C7,0)</f>
        <v/>
      </c>
      <c r="D8">
        <f>ROUND(D6*D7,0)</f>
        <v/>
      </c>
      <c r="E8">
        <f>ROUND(E6*E7,0)</f>
        <v/>
      </c>
      <c r="F8">
        <f>ROUND(F6*F7,0)</f>
        <v/>
      </c>
      <c r="G8">
        <f>ROUND(G6*G7,0)</f>
        <v/>
      </c>
      <c r="H8">
        <f>ROUND(H6*H7,0)</f>
        <v/>
      </c>
      <c r="I8">
        <f>ROUND(I6*I7,0)</f>
        <v/>
      </c>
      <c r="J8">
        <f>ROUND(J6*J7,0)</f>
        <v/>
      </c>
      <c r="K8">
        <f>ROUND(K6*K7,0)</f>
        <v/>
      </c>
      <c r="L8">
        <f>ROUND(L6*L7,0)</f>
        <v/>
      </c>
      <c r="M8">
        <f>ROUND(M6*M7,0)</f>
        <v/>
      </c>
    </row>
    <row r="9">
      <c r="A9" t="inlineStr">
        <is>
          <t xml:space="preserve">  % rentals (vs sales)</t>
        </is>
      </c>
      <c r="B9" t="n">
        <v>0.85</v>
      </c>
      <c r="C9" t="n">
        <v>0.85</v>
      </c>
      <c r="D9" t="n">
        <v>0.85</v>
      </c>
      <c r="E9" t="n">
        <v>0.85</v>
      </c>
      <c r="F9" t="n">
        <v>0.85</v>
      </c>
      <c r="G9" t="n">
        <v>0.85</v>
      </c>
      <c r="H9" t="n">
        <v>0.85</v>
      </c>
      <c r="I9" t="n">
        <v>0.85</v>
      </c>
      <c r="J9" t="n">
        <v>0.85</v>
      </c>
      <c r="K9" t="n">
        <v>0.85</v>
      </c>
      <c r="L9" t="n">
        <v>0.85</v>
      </c>
      <c r="M9" t="n">
        <v>0.85</v>
      </c>
    </row>
    <row r="10">
      <c r="A10" t="inlineStr">
        <is>
          <t>B2C AI success-fee deals</t>
        </is>
      </c>
      <c r="B10" t="n">
        <v>8</v>
      </c>
      <c r="C10" t="n">
        <v>14</v>
      </c>
      <c r="D10" t="n">
        <v>22</v>
      </c>
      <c r="E10" t="n">
        <v>30</v>
      </c>
      <c r="F10" t="n">
        <v>40</v>
      </c>
      <c r="G10" t="n">
        <v>52</v>
      </c>
      <c r="H10" t="n">
        <v>65</v>
      </c>
      <c r="I10" t="n">
        <v>78</v>
      </c>
      <c r="J10" t="n">
        <v>92</v>
      </c>
      <c r="K10" t="n">
        <v>105</v>
      </c>
      <c r="L10" t="n">
        <v>118</v>
      </c>
      <c r="M10" t="n">
        <v>130</v>
      </c>
    </row>
    <row r="12">
      <c r="A12" s="3" t="inlineStr">
        <is>
          <t>UNIT ECONOMICS (per deal)</t>
        </is>
      </c>
    </row>
    <row r="13">
      <c r="A13" t="inlineStr">
        <is>
          <t>Rental: agent fee x 27.5% share</t>
        </is>
      </c>
      <c r="B13" t="n">
        <v>605</v>
      </c>
    </row>
    <row r="14">
      <c r="A14" t="inlineStr">
        <is>
          <t>Sale: agent fee x 20% share</t>
        </is>
      </c>
      <c r="B14" t="n">
        <v>2400</v>
      </c>
    </row>
    <row r="15">
      <c r="A15" t="inlineStr">
        <is>
          <t>B2C AI success fee</t>
        </is>
      </c>
      <c r="B15" t="n">
        <v>149</v>
      </c>
    </row>
    <row r="17">
      <c r="A17" s="3" t="inlineStr">
        <is>
          <t>REVENUE</t>
        </is>
      </c>
    </row>
    <row r="18">
      <c r="A18" t="inlineStr">
        <is>
          <t>R1 Rental commission split</t>
        </is>
      </c>
      <c r="B18">
        <f>ROUND(B8*B9*$B$13,0)</f>
        <v/>
      </c>
      <c r="C18">
        <f>ROUND(C8*C9*$B$13,0)</f>
        <v/>
      </c>
      <c r="D18">
        <f>ROUND(D8*D9*$B$13,0)</f>
        <v/>
      </c>
      <c r="E18">
        <f>ROUND(E8*E9*$B$13,0)</f>
        <v/>
      </c>
      <c r="F18">
        <f>ROUND(F8*F9*$B$13,0)</f>
        <v/>
      </c>
      <c r="G18">
        <f>ROUND(G8*G9*$B$13,0)</f>
        <v/>
      </c>
      <c r="H18">
        <f>ROUND(H8*H9*$B$13,0)</f>
        <v/>
      </c>
      <c r="I18">
        <f>ROUND(I8*I9*$B$13,0)</f>
        <v/>
      </c>
      <c r="J18">
        <f>ROUND(J8*J9*$B$13,0)</f>
        <v/>
      </c>
      <c r="K18">
        <f>ROUND(K8*K9*$B$13,0)</f>
        <v/>
      </c>
      <c r="L18">
        <f>ROUND(L8*L9*$B$13,0)</f>
        <v/>
      </c>
      <c r="M18">
        <f>ROUND(M8*M9*$B$13,0)</f>
        <v/>
      </c>
    </row>
    <row r="19">
      <c r="A19" t="inlineStr">
        <is>
          <t>R2 Sales referral split</t>
        </is>
      </c>
      <c r="B19">
        <f>ROUND(B8*(1-B9)*$B$14,0)</f>
        <v/>
      </c>
      <c r="C19">
        <f>ROUND(C8*(1-C9)*$B$14,0)</f>
        <v/>
      </c>
      <c r="D19">
        <f>ROUND(D8*(1-D9)*$B$14,0)</f>
        <v/>
      </c>
      <c r="E19">
        <f>ROUND(E8*(1-E9)*$B$14,0)</f>
        <v/>
      </c>
      <c r="F19">
        <f>ROUND(F8*(1-F9)*$B$14,0)</f>
        <v/>
      </c>
      <c r="G19">
        <f>ROUND(G8*(1-G9)*$B$14,0)</f>
        <v/>
      </c>
      <c r="H19">
        <f>ROUND(H8*(1-H9)*$B$14,0)</f>
        <v/>
      </c>
      <c r="I19">
        <f>ROUND(I8*(1-I9)*$B$14,0)</f>
        <v/>
      </c>
      <c r="J19">
        <f>ROUND(J8*(1-J9)*$B$14,0)</f>
        <v/>
      </c>
      <c r="K19">
        <f>ROUND(K8*(1-K9)*$B$14,0)</f>
        <v/>
      </c>
      <c r="L19">
        <f>ROUND(L8*(1-L9)*$B$14,0)</f>
        <v/>
      </c>
      <c r="M19">
        <f>ROUND(M8*(1-M9)*$B$14,0)</f>
        <v/>
      </c>
    </row>
    <row r="20">
      <c r="A20" t="inlineStr">
        <is>
          <t>R3 B2C AI success fees</t>
        </is>
      </c>
      <c r="B20">
        <f>B10*$B$15</f>
        <v/>
      </c>
      <c r="C20">
        <f>C10*$B$15</f>
        <v/>
      </c>
      <c r="D20">
        <f>D10*$B$15</f>
        <v/>
      </c>
      <c r="E20">
        <f>E10*$B$15</f>
        <v/>
      </c>
      <c r="F20">
        <f>F10*$B$15</f>
        <v/>
      </c>
      <c r="G20">
        <f>G10*$B$15</f>
        <v/>
      </c>
      <c r="H20">
        <f>H10*$B$15</f>
        <v/>
      </c>
      <c r="I20">
        <f>I10*$B$15</f>
        <v/>
      </c>
      <c r="J20">
        <f>J10*$B$15</f>
        <v/>
      </c>
      <c r="K20">
        <f>K10*$B$15</f>
        <v/>
      </c>
      <c r="L20">
        <f>L10*$B$15</f>
        <v/>
      </c>
      <c r="M20">
        <f>M10*$B$15</f>
        <v/>
      </c>
    </row>
    <row r="21">
      <c r="A21" t="inlineStr">
        <is>
          <t>R4 Agency upsells (Zolak, AI-exposé, from M6)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500</v>
      </c>
      <c r="H21" t="n">
        <v>800</v>
      </c>
      <c r="I21" t="n">
        <v>1100</v>
      </c>
      <c r="J21" t="n">
        <v>1400</v>
      </c>
      <c r="K21" t="n">
        <v>1700</v>
      </c>
      <c r="L21" t="n">
        <v>2000</v>
      </c>
      <c r="M21" t="n">
        <v>2300</v>
      </c>
    </row>
    <row r="22">
      <c r="A22" s="6" t="inlineStr">
        <is>
          <t>TOTAL REVENUE</t>
        </is>
      </c>
      <c r="B22" s="6">
        <f>SUM(B18:B21)</f>
        <v/>
      </c>
      <c r="C22" s="6">
        <f>SUM(C18:C21)</f>
        <v/>
      </c>
      <c r="D22" s="6">
        <f>SUM(D18:D21)</f>
        <v/>
      </c>
      <c r="E22" s="6">
        <f>SUM(E18:E21)</f>
        <v/>
      </c>
      <c r="F22" s="6">
        <f>SUM(F18:F21)</f>
        <v/>
      </c>
      <c r="G22" s="6">
        <f>SUM(G18:G21)</f>
        <v/>
      </c>
      <c r="H22" s="6">
        <f>SUM(H18:H21)</f>
        <v/>
      </c>
      <c r="I22" s="6">
        <f>SUM(I18:I21)</f>
        <v/>
      </c>
      <c r="J22" s="6">
        <f>SUM(J18:J21)</f>
        <v/>
      </c>
      <c r="K22" s="6">
        <f>SUM(K18:K21)</f>
        <v/>
      </c>
      <c r="L22" s="6">
        <f>SUM(L18:L21)</f>
        <v/>
      </c>
      <c r="M22" s="6">
        <f>SUM(M18:M21)</f>
        <v/>
      </c>
      <c r="N22" s="6">
        <f>SUM(B22:M22)</f>
        <v/>
      </c>
    </row>
    <row r="24">
      <c r="A24" s="3" t="inlineStr">
        <is>
          <t>COSTS</t>
        </is>
      </c>
    </row>
    <row r="25">
      <c r="A25" t="inlineStr">
        <is>
          <t>Маркетинг B2C (performance + контент + SEO)</t>
        </is>
      </c>
      <c r="B25" t="n">
        <v>2000</v>
      </c>
      <c r="C25" t="n">
        <v>2200</v>
      </c>
      <c r="D25" t="n">
        <v>2400</v>
      </c>
      <c r="E25" t="n">
        <v>2400</v>
      </c>
      <c r="F25" t="n">
        <v>2600</v>
      </c>
      <c r="G25" t="n">
        <v>2600</v>
      </c>
      <c r="H25" t="n">
        <v>2800</v>
      </c>
      <c r="I25" t="n">
        <v>2800</v>
      </c>
      <c r="J25" t="n">
        <v>3000</v>
      </c>
      <c r="K25" t="n">
        <v>3000</v>
      </c>
      <c r="L25" t="n">
        <v>3200</v>
      </c>
      <c r="M25" t="n">
        <v>3200</v>
      </c>
    </row>
    <row r="26">
      <c r="A26" t="inlineStr">
        <is>
          <t>Продажи агентствам / партнёрства (part-time BD)</t>
        </is>
      </c>
      <c r="B26" t="n">
        <v>1500</v>
      </c>
      <c r="C26" t="n">
        <v>1500</v>
      </c>
      <c r="D26" t="n">
        <v>1500</v>
      </c>
      <c r="E26" t="n">
        <v>2000</v>
      </c>
      <c r="F26" t="n">
        <v>2000</v>
      </c>
      <c r="G26" t="n">
        <v>2000</v>
      </c>
      <c r="H26" t="n">
        <v>2500</v>
      </c>
      <c r="I26" t="n">
        <v>2500</v>
      </c>
      <c r="J26" t="n">
        <v>2500</v>
      </c>
      <c r="K26" t="n">
        <v>2500</v>
      </c>
      <c r="L26" t="n">
        <v>3000</v>
      </c>
      <c r="M26" t="n">
        <v>3000</v>
      </c>
    </row>
    <row r="27">
      <c r="A27" t="inlineStr">
        <is>
          <t>Команда: dev/support (контракторы)</t>
        </is>
      </c>
      <c r="B27" t="n">
        <v>3000</v>
      </c>
      <c r="C27" t="n">
        <v>3000</v>
      </c>
      <c r="D27" t="n">
        <v>3000</v>
      </c>
      <c r="E27" t="n">
        <v>3500</v>
      </c>
      <c r="F27" t="n">
        <v>3500</v>
      </c>
      <c r="G27" t="n">
        <v>3500</v>
      </c>
      <c r="H27" t="n">
        <v>4000</v>
      </c>
      <c r="I27" t="n">
        <v>4000</v>
      </c>
      <c r="J27" t="n">
        <v>4000</v>
      </c>
      <c r="K27" t="n">
        <v>4500</v>
      </c>
      <c r="L27" t="n">
        <v>4500</v>
      </c>
      <c r="M27" t="n">
        <v>4500</v>
      </c>
    </row>
    <row r="28">
      <c r="A28" t="inlineStr">
        <is>
          <t>Инфраструктура + AI API</t>
        </is>
      </c>
      <c r="B28" t="n">
        <v>700</v>
      </c>
      <c r="C28" t="n">
        <v>750</v>
      </c>
      <c r="D28" t="n">
        <v>800</v>
      </c>
      <c r="E28" t="n">
        <v>850</v>
      </c>
      <c r="F28" t="n">
        <v>900</v>
      </c>
      <c r="G28" t="n">
        <v>950</v>
      </c>
      <c r="H28" t="n">
        <v>1000</v>
      </c>
      <c r="I28" t="n">
        <v>1050</v>
      </c>
      <c r="J28" t="n">
        <v>1100</v>
      </c>
      <c r="K28" t="n">
        <v>1150</v>
      </c>
      <c r="L28" t="n">
        <v>1200</v>
      </c>
      <c r="M28" t="n">
        <v>1250</v>
      </c>
    </row>
    <row r="29">
      <c r="A29" t="inlineStr">
        <is>
          <t>Tools, legal, прочее</t>
        </is>
      </c>
      <c r="B29" t="n">
        <v>500</v>
      </c>
      <c r="C29" t="n">
        <v>500</v>
      </c>
      <c r="D29" t="n">
        <v>500</v>
      </c>
      <c r="E29" t="n">
        <v>600</v>
      </c>
      <c r="F29" t="n">
        <v>600</v>
      </c>
      <c r="G29" t="n">
        <v>600</v>
      </c>
      <c r="H29" t="n">
        <v>700</v>
      </c>
      <c r="I29" t="n">
        <v>700</v>
      </c>
      <c r="J29" t="n">
        <v>700</v>
      </c>
      <c r="K29" t="n">
        <v>800</v>
      </c>
      <c r="L29" t="n">
        <v>800</v>
      </c>
      <c r="M29" t="n">
        <v>800</v>
      </c>
    </row>
    <row r="30">
      <c r="A30" s="6" t="inlineStr">
        <is>
          <t>TOTAL COSTS</t>
        </is>
      </c>
      <c r="B30" s="6">
        <f>SUM(B25:B29)</f>
        <v/>
      </c>
      <c r="C30" s="6">
        <f>SUM(C25:C29)</f>
        <v/>
      </c>
      <c r="D30" s="6">
        <f>SUM(D25:D29)</f>
        <v/>
      </c>
      <c r="E30" s="6">
        <f>SUM(E25:E29)</f>
        <v/>
      </c>
      <c r="F30" s="6">
        <f>SUM(F25:F29)</f>
        <v/>
      </c>
      <c r="G30" s="6">
        <f>SUM(G25:G29)</f>
        <v/>
      </c>
      <c r="H30" s="6">
        <f>SUM(H25:H29)</f>
        <v/>
      </c>
      <c r="I30" s="6">
        <f>SUM(I25:I29)</f>
        <v/>
      </c>
      <c r="J30" s="6">
        <f>SUM(J25:J29)</f>
        <v/>
      </c>
      <c r="K30" s="6">
        <f>SUM(K25:K29)</f>
        <v/>
      </c>
      <c r="L30" s="6">
        <f>SUM(L25:L29)</f>
        <v/>
      </c>
      <c r="M30" s="6">
        <f>SUM(M25:M29)</f>
        <v/>
      </c>
      <c r="N30" s="6">
        <f>SUM(B30:M30)</f>
        <v/>
      </c>
    </row>
    <row r="32">
      <c r="A32" s="7" t="inlineStr">
        <is>
          <t>EBITDA</t>
        </is>
      </c>
      <c r="B32">
        <f>B22-B30</f>
        <v/>
      </c>
      <c r="C32">
        <f>C22-C30</f>
        <v/>
      </c>
      <c r="D32">
        <f>D22-D30</f>
        <v/>
      </c>
      <c r="E32">
        <f>E22-E30</f>
        <v/>
      </c>
      <c r="F32">
        <f>F22-F30</f>
        <v/>
      </c>
      <c r="G32">
        <f>G22-G30</f>
        <v/>
      </c>
      <c r="H32">
        <f>H22-H30</f>
        <v/>
      </c>
      <c r="I32">
        <f>I22-I30</f>
        <v/>
      </c>
      <c r="J32">
        <f>J22-J30</f>
        <v/>
      </c>
      <c r="K32">
        <f>K22-K30</f>
        <v/>
      </c>
      <c r="L32">
        <f>L22-L30</f>
        <v/>
      </c>
      <c r="M32">
        <f>M22-M30</f>
        <v/>
      </c>
      <c r="N32">
        <f>SUM(B32:M32)</f>
        <v/>
      </c>
    </row>
    <row r="33">
      <c r="A33" t="inlineStr">
        <is>
          <t>CUMULATIVE (incl. €18,000 reserve)</t>
        </is>
      </c>
      <c r="B33">
        <f>18000+B32</f>
        <v/>
      </c>
      <c r="C33">
        <f>B33+C32</f>
        <v/>
      </c>
      <c r="D33">
        <f>C33+D32</f>
        <v/>
      </c>
      <c r="E33">
        <f>D33+E32</f>
        <v/>
      </c>
      <c r="F33">
        <f>E33+F32</f>
        <v/>
      </c>
      <c r="G33">
        <f>F33+G32</f>
        <v/>
      </c>
      <c r="H33">
        <f>G33+H32</f>
        <v/>
      </c>
      <c r="I33">
        <f>H33+I32</f>
        <v/>
      </c>
      <c r="J33">
        <f>I33+J32</f>
        <v/>
      </c>
      <c r="K33">
        <f>J33+K32</f>
        <v/>
      </c>
      <c r="L33">
        <f>K33+L32</f>
        <v/>
      </c>
      <c r="M33">
        <f>L33+M32</f>
        <v/>
      </c>
    </row>
    <row r="35">
      <c r="A35" s="4" t="inlineStr">
        <is>
          <t>Note: R3 оформлен как оплата ИИ-сервиса (не Vermittlung) — см. лист Business Model.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2026-09-07T22:54:56Z</dcterms:created>
  <dcterms:modified xmlns:dcterms="http://purl.org/dc/terms/" xmlns:xsi="http://www.w3.org/2001/XMLSchema-instance" xsi:type="dcterms:W3CDTF">2026-09-07T22:54:56Z</dcterms:modified>
</cp:coreProperties>
</file>