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- Берлин" sheetId="3" state="visible" r:id="rId3"/>
    <sheet xmlns:r="http://schemas.openxmlformats.org/officeDocument/2006/relationships" name="PESSIMISTIC -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- Business Model v2</t>
        </is>
      </c>
      <c r="B1" s="2" t="inlineStr"/>
    </row>
    <row r="2">
      <c r="A2" t="inlineStr">
        <is>
          <t>GEO</t>
        </is>
      </c>
      <c r="B2" s="2" t="inlineStr">
        <is>
          <t>Берлин -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-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-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Узкие запросы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FB, r/berlin, Telegram. Дёшево, но часто без немецких доходных справок.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стартапов, вузы. Приходят с датой въезда и доходом -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Гео-страницы на данных парсинга - способ найти нас, а не ограничение на сделку: внутри доступны и каталог, и эксклюзивы.</t>
        </is>
      </c>
    </row>
    <row r="14">
      <c r="A14" t="inlineStr">
        <is>
          <t>Реферальная петля</t>
        </is>
      </c>
      <c r="B14" s="2" t="inlineStr">
        <is>
          <t>[квалификация 50%] Заселённый клиент приводит следующего - месяц мониторинга в подарок.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в топе выдачи + агентства шлют свой waiting-list к нам.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-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-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- приоритетно, на каталог IS24 -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-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IS24 -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-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-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-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-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- BASE, Берлин, запуск Sep 2026 (EUR)</t>
        </is>
      </c>
    </row>
    <row r="2">
      <c r="A2" s="4" t="inlineStr">
        <is>
          <t>Жёлтые ячейки -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-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300</v>
      </c>
      <c r="J41" s="8" t="n">
        <v>500</v>
      </c>
      <c r="K41" s="8" t="n">
        <v>700</v>
      </c>
      <c r="L41" s="8" t="n">
        <v>900</v>
      </c>
      <c r="M41" s="8" t="n">
        <v>1100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1200</v>
      </c>
      <c r="C72" s="8" t="n">
        <v>1291</v>
      </c>
      <c r="D72" s="8" t="n">
        <v>1382</v>
      </c>
      <c r="E72" s="8" t="n">
        <v>1473</v>
      </c>
      <c r="F72" s="8" t="n">
        <v>1564</v>
      </c>
      <c r="G72" s="8" t="n">
        <v>1655</v>
      </c>
      <c r="H72" s="8" t="n">
        <v>1745</v>
      </c>
      <c r="I72" s="8" t="n">
        <v>1836</v>
      </c>
      <c r="J72" s="8" t="n">
        <v>1927</v>
      </c>
      <c r="K72" s="8" t="n">
        <v>2018</v>
      </c>
      <c r="L72" s="8" t="n">
        <v>2109</v>
      </c>
      <c r="M72" s="8" t="n">
        <v>2200</v>
      </c>
      <c r="N72">
        <f>SUM(B72:M72)</f>
        <v/>
      </c>
    </row>
    <row r="73">
      <c r="A73" t="inlineStr">
        <is>
          <t>Backend-контрактор (доработки, фичи)</t>
        </is>
      </c>
      <c r="B73" s="8" t="n">
        <v>1800</v>
      </c>
      <c r="C73" s="8" t="n">
        <v>1800</v>
      </c>
      <c r="D73" s="8" t="n">
        <v>1800</v>
      </c>
      <c r="E73" s="8" t="n">
        <v>2100</v>
      </c>
      <c r="F73" s="8" t="n">
        <v>2100</v>
      </c>
      <c r="G73" s="8" t="n">
        <v>2100</v>
      </c>
      <c r="H73" s="8" t="n">
        <v>2400</v>
      </c>
      <c r="I73" s="8" t="n">
        <v>2400</v>
      </c>
      <c r="J73" s="8" t="n">
        <v>2400</v>
      </c>
      <c r="K73" s="8" t="n">
        <v>2700</v>
      </c>
      <c r="L73" s="8" t="n">
        <v>2700</v>
      </c>
      <c r="M73" s="8" t="n">
        <v>2700</v>
      </c>
      <c r="N73">
        <f>SUM(B73:M73)</f>
        <v/>
      </c>
    </row>
    <row r="74">
      <c r="A74" t="inlineStr">
        <is>
          <t>Парсер / инфра-мейнтенанс (IS24 anti-bot, Chrome pipeline)</t>
        </is>
      </c>
      <c r="B74" s="8" t="n">
        <v>600</v>
      </c>
      <c r="C74" s="8" t="n">
        <v>600</v>
      </c>
      <c r="D74" s="8" t="n">
        <v>600</v>
      </c>
      <c r="E74" s="8" t="n">
        <v>700</v>
      </c>
      <c r="F74" s="8" t="n">
        <v>700</v>
      </c>
      <c r="G74" s="8" t="n">
        <v>700</v>
      </c>
      <c r="H74" s="8" t="n">
        <v>800</v>
      </c>
      <c r="I74" s="8" t="n">
        <v>800</v>
      </c>
      <c r="J74" s="8" t="n">
        <v>800</v>
      </c>
      <c r="K74" s="8" t="n">
        <v>900</v>
      </c>
      <c r="L74" s="8" t="n">
        <v>900</v>
      </c>
      <c r="M74" s="8" t="n">
        <v>900</v>
      </c>
      <c r="N74">
        <f>SUM(B74:M74)</f>
        <v/>
      </c>
    </row>
    <row r="75">
      <c r="A75" t="inlineStr">
        <is>
          <t>Support/ops (B2C + агентства)</t>
        </is>
      </c>
      <c r="B75" s="8" t="n">
        <v>600</v>
      </c>
      <c r="C75" s="8" t="n">
        <v>600</v>
      </c>
      <c r="D75" s="8" t="n">
        <v>600</v>
      </c>
      <c r="E75" s="8" t="n">
        <v>700</v>
      </c>
      <c r="F75" s="8" t="n">
        <v>700</v>
      </c>
      <c r="G75" s="8" t="n">
        <v>700</v>
      </c>
      <c r="H75" s="8" t="n">
        <v>800</v>
      </c>
      <c r="I75" s="8" t="n">
        <v>800</v>
      </c>
      <c r="J75" s="8" t="n">
        <v>800</v>
      </c>
      <c r="K75" s="8" t="n">
        <v>900</v>
      </c>
      <c r="L75" s="8" t="n">
        <v>900</v>
      </c>
      <c r="M75" s="8" t="n">
        <v>900</v>
      </c>
      <c r="N75">
        <f>SUM(B75:M75)</f>
        <v/>
      </c>
    </row>
    <row r="76">
      <c r="A76" t="inlineStr">
        <is>
          <t>Инфраструктура + AI API</t>
        </is>
      </c>
      <c r="B76" s="8" t="n">
        <v>700</v>
      </c>
      <c r="C76" s="8" t="n">
        <v>750</v>
      </c>
      <c r="D76" s="8" t="n">
        <v>800</v>
      </c>
      <c r="E76" s="8" t="n">
        <v>850</v>
      </c>
      <c r="F76" s="8" t="n">
        <v>900</v>
      </c>
      <c r="G76" s="8" t="n">
        <v>950</v>
      </c>
      <c r="H76" s="8" t="n">
        <v>1000</v>
      </c>
      <c r="I76" s="8" t="n">
        <v>1050</v>
      </c>
      <c r="J76" s="8" t="n">
        <v>1100</v>
      </c>
      <c r="K76" s="8" t="n">
        <v>1150</v>
      </c>
      <c r="L76" s="8" t="n">
        <v>1200</v>
      </c>
      <c r="M76" s="8" t="n">
        <v>1250</v>
      </c>
      <c r="N76">
        <f>SUM(B76:M76)</f>
        <v/>
      </c>
    </row>
    <row r="77">
      <c r="A77" t="inlineStr">
        <is>
          <t>Tools, legal, прочее</t>
        </is>
      </c>
      <c r="B77" s="8" t="n">
        <v>500</v>
      </c>
      <c r="C77" s="8" t="n">
        <v>500</v>
      </c>
      <c r="D77" s="8" t="n">
        <v>500</v>
      </c>
      <c r="E77" s="8" t="n">
        <v>600</v>
      </c>
      <c r="F77" s="8" t="n">
        <v>600</v>
      </c>
      <c r="G77" s="8" t="n">
        <v>600</v>
      </c>
      <c r="H77" s="8" t="n">
        <v>700</v>
      </c>
      <c r="I77" s="8" t="n">
        <v>700</v>
      </c>
      <c r="J77" s="8" t="n">
        <v>700</v>
      </c>
      <c r="K77" s="8" t="n">
        <v>800</v>
      </c>
      <c r="L77" s="8" t="n">
        <v>800</v>
      </c>
      <c r="M77" s="8" t="n">
        <v>800</v>
      </c>
      <c r="N77">
        <f>SUM(B77:M77)</f>
        <v/>
      </c>
    </row>
    <row r="78">
      <c r="A78" t="inlineStr">
        <is>
          <t>Продажник: комиссия (% от R1+R2)</t>
        </is>
      </c>
      <c r="B78">
        <f>ROUND(B63*$B$38,0)</f>
        <v/>
      </c>
      <c r="C78">
        <f>ROUND(C63*$B$38,0)</f>
        <v/>
      </c>
      <c r="D78">
        <f>ROUND(D63*$B$38,0)</f>
        <v/>
      </c>
      <c r="E78">
        <f>ROUND(E63*$B$38,0)</f>
        <v/>
      </c>
      <c r="F78">
        <f>ROUND(F63*$B$38,0)</f>
        <v/>
      </c>
      <c r="G78">
        <f>ROUND(G63*$B$38,0)</f>
        <v/>
      </c>
      <c r="H78">
        <f>ROUND(H63*$B$38,0)</f>
        <v/>
      </c>
      <c r="I78">
        <f>ROUND(I63*$B$38,0)</f>
        <v/>
      </c>
      <c r="J78">
        <f>ROUND(J63*$B$38,0)</f>
        <v/>
      </c>
      <c r="K78">
        <f>ROUND(K63*$B$38,0)</f>
        <v/>
      </c>
      <c r="L78">
        <f>ROUND(L63*$B$38,0)</f>
        <v/>
      </c>
      <c r="M78">
        <f>ROUND(M63*$B$38,0)</f>
        <v/>
      </c>
      <c r="N78">
        <f>SUM(B78:M78)</f>
        <v/>
      </c>
    </row>
    <row r="79">
      <c r="A79" s="6" t="inlineStr">
        <is>
          <t>TOTAL COSTS</t>
        </is>
      </c>
      <c r="B79" s="6">
        <f>B70+B71+B72+B73+B74+B75+B76+B77+B78</f>
        <v/>
      </c>
      <c r="C79" s="6">
        <f>C70+C71+C72+C73+C74+C75+C76+C77+C78</f>
        <v/>
      </c>
      <c r="D79" s="6">
        <f>D70+D71+D72+D73+D74+D75+D76+D77+D78</f>
        <v/>
      </c>
      <c r="E79" s="6">
        <f>E70+E71+E72+E73+E74+E75+E76+E77+E78</f>
        <v/>
      </c>
      <c r="F79" s="6">
        <f>F70+F71+F72+F73+F74+F75+F76+F77+F78</f>
        <v/>
      </c>
      <c r="G79" s="6">
        <f>G70+G71+G72+G73+G74+G75+G76+G77+G78</f>
        <v/>
      </c>
      <c r="H79" s="6">
        <f>H70+H71+H72+H73+H74+H75+H76+H77+H78</f>
        <v/>
      </c>
      <c r="I79" s="6">
        <f>I70+I71+I72+I73+I74+I75+I76+I77+I78</f>
        <v/>
      </c>
      <c r="J79" s="6">
        <f>J70+J71+J72+J73+J74+J75+J76+J77+J78</f>
        <v/>
      </c>
      <c r="K79" s="6">
        <f>K70+K71+K72+K73+K74+K75+K76+K77+K78</f>
        <v/>
      </c>
      <c r="L79" s="6">
        <f>L70+L71+L72+L73+L74+L75+L76+L77+L78</f>
        <v/>
      </c>
      <c r="M79" s="6">
        <f>M70+M71+M72+M73+M74+M75+M76+M77+M78</f>
        <v/>
      </c>
      <c r="N79" s="6">
        <f>SUM(B79:M79)</f>
        <v/>
      </c>
    </row>
    <row r="81">
      <c r="A81" s="6" t="inlineStr">
        <is>
          <t>EBITDA</t>
        </is>
      </c>
      <c r="B81" s="6">
        <f>B67-B79</f>
        <v/>
      </c>
      <c r="C81" s="6">
        <f>C67-C79</f>
        <v/>
      </c>
      <c r="D81" s="6">
        <f>D67-D79</f>
        <v/>
      </c>
      <c r="E81" s="6">
        <f>E67-E79</f>
        <v/>
      </c>
      <c r="F81" s="6">
        <f>F67-F79</f>
        <v/>
      </c>
      <c r="G81" s="6">
        <f>G67-G79</f>
        <v/>
      </c>
      <c r="H81" s="6">
        <f>H67-H79</f>
        <v/>
      </c>
      <c r="I81" s="6">
        <f>I67-I79</f>
        <v/>
      </c>
      <c r="J81" s="6">
        <f>J67-J79</f>
        <v/>
      </c>
      <c r="K81" s="6">
        <f>K67-K79</f>
        <v/>
      </c>
      <c r="L81" s="6">
        <f>L67-L79</f>
        <v/>
      </c>
      <c r="M81" s="6">
        <f>M67-M79</f>
        <v/>
      </c>
      <c r="N81" s="6">
        <f>SUM(B81:M81)</f>
        <v/>
      </c>
    </row>
    <row r="82">
      <c r="A82" t="inlineStr">
        <is>
          <t>Кэш (старт €18,000)</t>
        </is>
      </c>
      <c r="B82">
        <f>18000+B81</f>
        <v/>
      </c>
      <c r="C82">
        <f>B82+C81</f>
        <v/>
      </c>
      <c r="D82">
        <f>C82+D81</f>
        <v/>
      </c>
      <c r="E82">
        <f>D82+E81</f>
        <v/>
      </c>
      <c r="F82">
        <f>E82+F81</f>
        <v/>
      </c>
      <c r="G82">
        <f>F82+G81</f>
        <v/>
      </c>
      <c r="H82">
        <f>G82+H81</f>
        <v/>
      </c>
      <c r="I82">
        <f>H82+I81</f>
        <v/>
      </c>
      <c r="J82">
        <f>I82+J81</f>
        <v/>
      </c>
      <c r="K82">
        <f>J82+K81</f>
        <v/>
      </c>
      <c r="L82">
        <f>K82+L81</f>
        <v/>
      </c>
      <c r="M82">
        <f>L82+M81</f>
        <v/>
      </c>
    </row>
    <row r="84">
      <c r="A84" s="3" t="inlineStr">
        <is>
          <t>ЮНИТ-ЭКОНОМИКА (год)</t>
        </is>
      </c>
    </row>
    <row r="85">
      <c r="A85" t="inlineStr">
        <is>
          <t>CAC на квалифицированного лида, €</t>
        </is>
      </c>
      <c r="B85">
        <f>ROUND(N6/N56,0)</f>
        <v/>
      </c>
    </row>
    <row r="86">
      <c r="A86" t="inlineStr">
        <is>
          <t>CAC на сделку, €</t>
        </is>
      </c>
      <c r="B86">
        <f>ROUND(N6/N59,0)</f>
        <v/>
      </c>
    </row>
    <row r="87">
      <c r="A87" t="inlineStr">
        <is>
          <t>Выручка на агентскую сделку, €</t>
        </is>
      </c>
      <c r="B87">
        <f>ROUND($B$35*$B$33+(1-$B$35)*$B$34,0)</f>
        <v/>
      </c>
    </row>
    <row r="88">
      <c r="A88" t="inlineStr">
        <is>
          <t>LTV / CAC (агентский канал)</t>
        </is>
      </c>
      <c r="B88">
        <f>ROUND(B87/B86,1)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- PESSIMISTIC, Берлин, запуск Sep 2026 (EUR)</t>
        </is>
      </c>
    </row>
    <row r="2">
      <c r="A2" s="4" t="inlineStr">
        <is>
          <t>Жёлтые ячейки -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-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1000</v>
      </c>
      <c r="C72" s="8" t="n">
        <v>1073</v>
      </c>
      <c r="D72" s="8" t="n">
        <v>1145</v>
      </c>
      <c r="E72" s="8" t="n">
        <v>1218</v>
      </c>
      <c r="F72" s="8" t="n">
        <v>1291</v>
      </c>
      <c r="G72" s="8" t="n">
        <v>1364</v>
      </c>
      <c r="H72" s="8" t="n">
        <v>1436</v>
      </c>
      <c r="I72" s="8" t="n">
        <v>1509</v>
      </c>
      <c r="J72" s="8" t="n">
        <v>1582</v>
      </c>
      <c r="K72" s="8" t="n">
        <v>1655</v>
      </c>
      <c r="L72" s="8" t="n">
        <v>1727</v>
      </c>
      <c r="M72" s="8" t="n">
        <v>1800</v>
      </c>
      <c r="N72">
        <f>SUM(B72:M72)</f>
        <v/>
      </c>
    </row>
    <row r="73">
      <c r="A73" t="inlineStr">
        <is>
          <t>Backend-контрактор (доработки, фичи)</t>
        </is>
      </c>
      <c r="B73" s="8" t="n">
        <v>1800</v>
      </c>
      <c r="C73" s="8" t="n">
        <v>1800</v>
      </c>
      <c r="D73" s="8" t="n">
        <v>1800</v>
      </c>
      <c r="E73" s="8" t="n">
        <v>2100</v>
      </c>
      <c r="F73" s="8" t="n">
        <v>2100</v>
      </c>
      <c r="G73" s="8" t="n">
        <v>2100</v>
      </c>
      <c r="H73" s="8" t="n">
        <v>2400</v>
      </c>
      <c r="I73" s="8" t="n">
        <v>2400</v>
      </c>
      <c r="J73" s="8" t="n">
        <v>2400</v>
      </c>
      <c r="K73" s="8" t="n">
        <v>2700</v>
      </c>
      <c r="L73" s="8" t="n">
        <v>2700</v>
      </c>
      <c r="M73" s="8" t="n">
        <v>2700</v>
      </c>
      <c r="N73">
        <f>SUM(B73:M73)</f>
        <v/>
      </c>
    </row>
    <row r="74">
      <c r="A74" t="inlineStr">
        <is>
          <t>Парсер / инфра-мейнтенанс (IS24 anti-bot, Chrome pipeline)</t>
        </is>
      </c>
      <c r="B74" s="8" t="n">
        <v>600</v>
      </c>
      <c r="C74" s="8" t="n">
        <v>600</v>
      </c>
      <c r="D74" s="8" t="n">
        <v>600</v>
      </c>
      <c r="E74" s="8" t="n">
        <v>700</v>
      </c>
      <c r="F74" s="8" t="n">
        <v>700</v>
      </c>
      <c r="G74" s="8" t="n">
        <v>700</v>
      </c>
      <c r="H74" s="8" t="n">
        <v>800</v>
      </c>
      <c r="I74" s="8" t="n">
        <v>800</v>
      </c>
      <c r="J74" s="8" t="n">
        <v>800</v>
      </c>
      <c r="K74" s="8" t="n">
        <v>900</v>
      </c>
      <c r="L74" s="8" t="n">
        <v>900</v>
      </c>
      <c r="M74" s="8" t="n">
        <v>900</v>
      </c>
      <c r="N74">
        <f>SUM(B74:M74)</f>
        <v/>
      </c>
    </row>
    <row r="75">
      <c r="A75" t="inlineStr">
        <is>
          <t>Support/ops (B2C + агентства)</t>
        </is>
      </c>
      <c r="B75" s="8" t="n">
        <v>600</v>
      </c>
      <c r="C75" s="8" t="n">
        <v>600</v>
      </c>
      <c r="D75" s="8" t="n">
        <v>600</v>
      </c>
      <c r="E75" s="8" t="n">
        <v>700</v>
      </c>
      <c r="F75" s="8" t="n">
        <v>700</v>
      </c>
      <c r="G75" s="8" t="n">
        <v>700</v>
      </c>
      <c r="H75" s="8" t="n">
        <v>800</v>
      </c>
      <c r="I75" s="8" t="n">
        <v>800</v>
      </c>
      <c r="J75" s="8" t="n">
        <v>800</v>
      </c>
      <c r="K75" s="8" t="n">
        <v>900</v>
      </c>
      <c r="L75" s="8" t="n">
        <v>900</v>
      </c>
      <c r="M75" s="8" t="n">
        <v>900</v>
      </c>
      <c r="N75">
        <f>SUM(B75:M75)</f>
        <v/>
      </c>
    </row>
    <row r="76">
      <c r="A76" t="inlineStr">
        <is>
          <t>Инфраструктура + AI API</t>
        </is>
      </c>
      <c r="B76" s="8" t="n">
        <v>700</v>
      </c>
      <c r="C76" s="8" t="n">
        <v>750</v>
      </c>
      <c r="D76" s="8" t="n">
        <v>800</v>
      </c>
      <c r="E76" s="8" t="n">
        <v>850</v>
      </c>
      <c r="F76" s="8" t="n">
        <v>900</v>
      </c>
      <c r="G76" s="8" t="n">
        <v>950</v>
      </c>
      <c r="H76" s="8" t="n">
        <v>1000</v>
      </c>
      <c r="I76" s="8" t="n">
        <v>1050</v>
      </c>
      <c r="J76" s="8" t="n">
        <v>1100</v>
      </c>
      <c r="K76" s="8" t="n">
        <v>1150</v>
      </c>
      <c r="L76" s="8" t="n">
        <v>1200</v>
      </c>
      <c r="M76" s="8" t="n">
        <v>1250</v>
      </c>
      <c r="N76">
        <f>SUM(B76:M76)</f>
        <v/>
      </c>
    </row>
    <row r="77">
      <c r="A77" t="inlineStr">
        <is>
          <t>Tools, legal, прочее</t>
        </is>
      </c>
      <c r="B77" s="8" t="n">
        <v>500</v>
      </c>
      <c r="C77" s="8" t="n">
        <v>500</v>
      </c>
      <c r="D77" s="8" t="n">
        <v>500</v>
      </c>
      <c r="E77" s="8" t="n">
        <v>600</v>
      </c>
      <c r="F77" s="8" t="n">
        <v>600</v>
      </c>
      <c r="G77" s="8" t="n">
        <v>600</v>
      </c>
      <c r="H77" s="8" t="n">
        <v>700</v>
      </c>
      <c r="I77" s="8" t="n">
        <v>700</v>
      </c>
      <c r="J77" s="8" t="n">
        <v>700</v>
      </c>
      <c r="K77" s="8" t="n">
        <v>800</v>
      </c>
      <c r="L77" s="8" t="n">
        <v>800</v>
      </c>
      <c r="M77" s="8" t="n">
        <v>800</v>
      </c>
      <c r="N77">
        <f>SUM(B77:M77)</f>
        <v/>
      </c>
    </row>
    <row r="78">
      <c r="A78" t="inlineStr">
        <is>
          <t>Продажник: комиссия (% от R1+R2)</t>
        </is>
      </c>
      <c r="B78">
        <f>ROUND(B63*$B$38,0)</f>
        <v/>
      </c>
      <c r="C78">
        <f>ROUND(C63*$B$38,0)</f>
        <v/>
      </c>
      <c r="D78">
        <f>ROUND(D63*$B$38,0)</f>
        <v/>
      </c>
      <c r="E78">
        <f>ROUND(E63*$B$38,0)</f>
        <v/>
      </c>
      <c r="F78">
        <f>ROUND(F63*$B$38,0)</f>
        <v/>
      </c>
      <c r="G78">
        <f>ROUND(G63*$B$38,0)</f>
        <v/>
      </c>
      <c r="H78">
        <f>ROUND(H63*$B$38,0)</f>
        <v/>
      </c>
      <c r="I78">
        <f>ROUND(I63*$B$38,0)</f>
        <v/>
      </c>
      <c r="J78">
        <f>ROUND(J63*$B$38,0)</f>
        <v/>
      </c>
      <c r="K78">
        <f>ROUND(K63*$B$38,0)</f>
        <v/>
      </c>
      <c r="L78">
        <f>ROUND(L63*$B$38,0)</f>
        <v/>
      </c>
      <c r="M78">
        <f>ROUND(M63*$B$38,0)</f>
        <v/>
      </c>
      <c r="N78">
        <f>SUM(B78:M78)</f>
        <v/>
      </c>
    </row>
    <row r="79">
      <c r="A79" s="6" t="inlineStr">
        <is>
          <t>TOTAL COSTS</t>
        </is>
      </c>
      <c r="B79" s="6">
        <f>B70+B71+B72+B73+B74+B75+B76+B77+B78</f>
        <v/>
      </c>
      <c r="C79" s="6">
        <f>C70+C71+C72+C73+C74+C75+C76+C77+C78</f>
        <v/>
      </c>
      <c r="D79" s="6">
        <f>D70+D71+D72+D73+D74+D75+D76+D77+D78</f>
        <v/>
      </c>
      <c r="E79" s="6">
        <f>E70+E71+E72+E73+E74+E75+E76+E77+E78</f>
        <v/>
      </c>
      <c r="F79" s="6">
        <f>F70+F71+F72+F73+F74+F75+F76+F77+F78</f>
        <v/>
      </c>
      <c r="G79" s="6">
        <f>G70+G71+G72+G73+G74+G75+G76+G77+G78</f>
        <v/>
      </c>
      <c r="H79" s="6">
        <f>H70+H71+H72+H73+H74+H75+H76+H77+H78</f>
        <v/>
      </c>
      <c r="I79" s="6">
        <f>I70+I71+I72+I73+I74+I75+I76+I77+I78</f>
        <v/>
      </c>
      <c r="J79" s="6">
        <f>J70+J71+J72+J73+J74+J75+J76+J77+J78</f>
        <v/>
      </c>
      <c r="K79" s="6">
        <f>K70+K71+K72+K73+K74+K75+K76+K77+K78</f>
        <v/>
      </c>
      <c r="L79" s="6">
        <f>L70+L71+L72+L73+L74+L75+L76+L77+L78</f>
        <v/>
      </c>
      <c r="M79" s="6">
        <f>M70+M71+M72+M73+M74+M75+M76+M77+M78</f>
        <v/>
      </c>
      <c r="N79" s="6">
        <f>SUM(B79:M79)</f>
        <v/>
      </c>
    </row>
    <row r="81">
      <c r="A81" s="6" t="inlineStr">
        <is>
          <t>EBITDA</t>
        </is>
      </c>
      <c r="B81" s="6">
        <f>B67-B79</f>
        <v/>
      </c>
      <c r="C81" s="6">
        <f>C67-C79</f>
        <v/>
      </c>
      <c r="D81" s="6">
        <f>D67-D79</f>
        <v/>
      </c>
      <c r="E81" s="6">
        <f>E67-E79</f>
        <v/>
      </c>
      <c r="F81" s="6">
        <f>F67-F79</f>
        <v/>
      </c>
      <c r="G81" s="6">
        <f>G67-G79</f>
        <v/>
      </c>
      <c r="H81" s="6">
        <f>H67-H79</f>
        <v/>
      </c>
      <c r="I81" s="6">
        <f>I67-I79</f>
        <v/>
      </c>
      <c r="J81" s="6">
        <f>J67-J79</f>
        <v/>
      </c>
      <c r="K81" s="6">
        <f>K67-K79</f>
        <v/>
      </c>
      <c r="L81" s="6">
        <f>L67-L79</f>
        <v/>
      </c>
      <c r="M81" s="6">
        <f>M67-M79</f>
        <v/>
      </c>
      <c r="N81" s="6">
        <f>SUM(B81:M81)</f>
        <v/>
      </c>
    </row>
    <row r="82">
      <c r="A82" t="inlineStr">
        <is>
          <t>Кэш (старт €18,000)</t>
        </is>
      </c>
      <c r="B82">
        <f>18000+B81</f>
        <v/>
      </c>
      <c r="C82">
        <f>B82+C81</f>
        <v/>
      </c>
      <c r="D82">
        <f>C82+D81</f>
        <v/>
      </c>
      <c r="E82">
        <f>D82+E81</f>
        <v/>
      </c>
      <c r="F82">
        <f>E82+F81</f>
        <v/>
      </c>
      <c r="G82">
        <f>F82+G81</f>
        <v/>
      </c>
      <c r="H82">
        <f>G82+H81</f>
        <v/>
      </c>
      <c r="I82">
        <f>H82+I81</f>
        <v/>
      </c>
      <c r="J82">
        <f>I82+J81</f>
        <v/>
      </c>
      <c r="K82">
        <f>J82+K81</f>
        <v/>
      </c>
      <c r="L82">
        <f>K82+L81</f>
        <v/>
      </c>
      <c r="M82">
        <f>L82+M81</f>
        <v/>
      </c>
    </row>
    <row r="84">
      <c r="A84" s="3" t="inlineStr">
        <is>
          <t>ЮНИТ-ЭКОНОМИКА (год)</t>
        </is>
      </c>
    </row>
    <row r="85">
      <c r="A85" t="inlineStr">
        <is>
          <t>CAC на квалифицированного лида, €</t>
        </is>
      </c>
      <c r="B85">
        <f>ROUND(N6/N56,0)</f>
        <v/>
      </c>
    </row>
    <row r="86">
      <c r="A86" t="inlineStr">
        <is>
          <t>CAC на сделку, €</t>
        </is>
      </c>
      <c r="B86">
        <f>ROUND(N6/N59,0)</f>
        <v/>
      </c>
    </row>
    <row r="87">
      <c r="A87" t="inlineStr">
        <is>
          <t>Выручка на агентскую сделку, €</t>
        </is>
      </c>
      <c r="B87">
        <f>ROUND($B$35*$B$33+(1-$B$35)*$B$34,0)</f>
        <v/>
      </c>
    </row>
    <row r="88">
      <c r="A88" t="inlineStr">
        <is>
          <t>LTV / CAC (агентский канал)</t>
        </is>
      </c>
      <c r="B88">
        <f>ROUND(B87/B86,1)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2026-09-09T20:02:57Z</dcterms:created>
  <dcterms:modified xmlns:dcterms="http://purl.org/dc/terms/" xmlns:xsi="http://www.w3.org/2001/XMLSchema-instance" xsi:type="dcterms:W3CDTF">2026-09-09T20:02:57Z</dcterms:modified>
</cp:coreProperties>
</file>