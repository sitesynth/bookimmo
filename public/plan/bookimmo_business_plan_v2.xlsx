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— Берлин" sheetId="3" state="visible" r:id="rId3"/>
    <sheet xmlns:r="http://schemas.openxmlformats.org/officeDocument/2006/relationships" name="PESSIMISTIC —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>
        <is>
          <t>GEO</t>
        </is>
      </c>
      <c r="B2" s="2" t="inlineStr">
        <is>
          <t>Берлин —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—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—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Только узкие запросы («Wohnung Berlin ohne Schufa», «apartment berlin english»)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 «Berlin Housing», r/berlin, Telegram, Toytown. Дёшево и горячо, но часто нет немецких документов о доходе — квалификация ~22%. Для них шаг «доведение документов»: Bürgschaft, письмо работодателя, Schufa через нас.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берлинских стартапов, международные офисы TU/HU/FU, буткемпы. Приходят с датой въезда и подтверждённым работодателем доходом — уже квалифицированы.</t>
        </is>
      </c>
    </row>
    <row r="13">
      <c r="A13" t="inlineStr">
        <is>
          <t>SEO: гео-страницы на базе каталога</t>
        </is>
      </c>
      <c r="B13" s="2" t="inlineStr">
        <is>
          <t>[квалификация 40%] Программные страницы район × комнаты × бюджет (DE + EN) на данных парсинга IS24/Immowelt — это как человек нас находит через поиск, а не то, что он снимет. Внутри у него доступ и к каталогу, и к эксклюзивам агентств — сам каталог для сделок слабый (остатки, не разобранные в CRM), но именно поэтому большинство таких лидов закрывается через эксклюзив, а не через объявление, которое их привело.</t>
        </is>
      </c>
    </row>
    <row r="14">
      <c r="A14" t="inlineStr">
        <is>
          <t>Реферальная петля</t>
        </is>
      </c>
      <c r="B14" s="2" t="inlineStr">
        <is>
          <t>[квалификация 50%] Каждый заселённый знает пятерых ищущих. Бесплатный месяц мониторинга за приведённого, кто подписал.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из CRM в топе выдачи + агентства шлют свои waiting-list'ы на страницу объекта у нас. Интент на конкретную квартиру.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—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—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— приоритетно, на каталог IS24 —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—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—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—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—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—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BASE,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0.12</v>
      </c>
    </row>
    <row r="29">
      <c r="A29" t="inlineStr">
        <is>
          <t>Квалифицированный → сделка на каталоге IS24</t>
        </is>
      </c>
      <c r="B29" s="8" t="n">
        <v>0.04</v>
      </c>
    </row>
    <row r="30">
      <c r="A30" t="inlineStr">
        <is>
          <t>Потолок сделок на агентство / мес</t>
        </is>
      </c>
      <c r="B30" s="8" t="n">
        <v>1</v>
      </c>
      <c r="C30" s="8" t="n">
        <v>1</v>
      </c>
      <c r="D30" s="8" t="n">
        <v>1.5</v>
      </c>
      <c r="E30" s="8" t="n">
        <v>1.5</v>
      </c>
      <c r="F30" s="8" t="n">
        <v>2</v>
      </c>
      <c r="G30" s="8" t="n">
        <v>2</v>
      </c>
      <c r="H30" s="8" t="n">
        <v>2.5</v>
      </c>
      <c r="I30" s="8" t="n">
        <v>2.5</v>
      </c>
      <c r="J30" s="8" t="n">
        <v>3</v>
      </c>
      <c r="K30" s="8" t="n">
        <v>3</v>
      </c>
      <c r="L30" s="8" t="n">
        <v>3</v>
      </c>
      <c r="M30" s="8" t="n">
        <v>3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Zolak: средний чек мебели, €</t>
        </is>
      </c>
      <c r="B39" s="8" t="n">
        <v>3000</v>
      </c>
    </row>
    <row r="40">
      <c r="A40" t="inlineStr">
        <is>
          <t>Zolak: наша доля от мебели</t>
        </is>
      </c>
      <c r="B40" s="8" t="n">
        <v>0.015</v>
      </c>
    </row>
    <row r="41">
      <c r="A41" t="inlineStr">
        <is>
          <t>Upsell агентствам, €/мес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0</v>
      </c>
      <c r="I41" s="8" t="n">
        <v>300</v>
      </c>
      <c r="J41" s="8" t="n">
        <v>500</v>
      </c>
      <c r="K41" s="8" t="n">
        <v>700</v>
      </c>
      <c r="L41" s="8" t="n">
        <v>900</v>
      </c>
      <c r="M41" s="8" t="n">
        <v>1100</v>
      </c>
      <c r="N41">
        <f>SUM(B41:M41)</f>
        <v/>
      </c>
    </row>
    <row r="43">
      <c r="A43" s="3" t="inlineStr">
        <is>
          <t>ВОРОНКА</t>
        </is>
      </c>
    </row>
    <row r="44">
      <c r="A44" t="inlineStr">
        <is>
          <t>Регистрации: paid</t>
        </is>
      </c>
      <c r="B44">
        <f>B6/$B$7*$B$8</f>
        <v/>
      </c>
      <c r="C44">
        <f>C6/$B$7*$B$8</f>
        <v/>
      </c>
      <c r="D44">
        <f>D6/$B$7*$B$8</f>
        <v/>
      </c>
      <c r="E44">
        <f>E6/$B$7*$B$8</f>
        <v/>
      </c>
      <c r="F44">
        <f>F6/$B$7*$B$8</f>
        <v/>
      </c>
      <c r="G44">
        <f>G6/$B$7*$B$8</f>
        <v/>
      </c>
      <c r="H44">
        <f>H6/$B$7*$B$8</f>
        <v/>
      </c>
      <c r="I44">
        <f>I6/$B$7*$B$8</f>
        <v/>
      </c>
      <c r="J44">
        <f>J6/$B$7*$B$8</f>
        <v/>
      </c>
      <c r="K44">
        <f>K6/$B$7*$B$8</f>
        <v/>
      </c>
      <c r="L44">
        <f>L6/$B$7*$B$8</f>
        <v/>
      </c>
      <c r="M44">
        <f>M6/$B$7*$B$8</f>
        <v/>
      </c>
      <c r="N44">
        <f>SUM(B44:M44)</f>
        <v/>
      </c>
    </row>
    <row r="45">
      <c r="A45" t="inlineStr">
        <is>
          <t>Регистрации: комьюнити</t>
        </is>
      </c>
      <c r="B45">
        <f>B9</f>
        <v/>
      </c>
      <c r="C45">
        <f>C9</f>
        <v/>
      </c>
      <c r="D45">
        <f>D9</f>
        <v/>
      </c>
      <c r="E45">
        <f>E9</f>
        <v/>
      </c>
      <c r="F45">
        <f>F9</f>
        <v/>
      </c>
      <c r="G45">
        <f>G9</f>
        <v/>
      </c>
      <c r="H45">
        <f>H9</f>
        <v/>
      </c>
      <c r="I45">
        <f>I9</f>
        <v/>
      </c>
      <c r="J45">
        <f>J9</f>
        <v/>
      </c>
      <c r="K45">
        <f>K9</f>
        <v/>
      </c>
      <c r="L45">
        <f>L9</f>
        <v/>
      </c>
      <c r="M45">
        <f>M9</f>
        <v/>
      </c>
      <c r="N45">
        <f>SUM(B45:M45)</f>
        <v/>
      </c>
    </row>
    <row r="46">
      <c r="A46" t="inlineStr">
        <is>
          <t>Регистрации: SEO</t>
        </is>
      </c>
      <c r="B46">
        <f>B12*$B$13</f>
        <v/>
      </c>
      <c r="C46">
        <f>C12*$B$13</f>
        <v/>
      </c>
      <c r="D46">
        <f>D12*$B$13</f>
        <v/>
      </c>
      <c r="E46">
        <f>E12*$B$13</f>
        <v/>
      </c>
      <c r="F46">
        <f>F12*$B$13</f>
        <v/>
      </c>
      <c r="G46">
        <f>G12*$B$13</f>
        <v/>
      </c>
      <c r="H46">
        <f>H12*$B$13</f>
        <v/>
      </c>
      <c r="I46">
        <f>I12*$B$13</f>
        <v/>
      </c>
      <c r="J46">
        <f>J12*$B$13</f>
        <v/>
      </c>
      <c r="K46">
        <f>K12*$B$13</f>
        <v/>
      </c>
      <c r="L46">
        <f>L12*$B$13</f>
        <v/>
      </c>
      <c r="M46">
        <f>M12*$B$13</f>
        <v/>
      </c>
      <c r="N46">
        <f>SUM(B46:M46)</f>
        <v/>
      </c>
    </row>
    <row r="47">
      <c r="A47" t="inlineStr">
        <is>
          <t>Регистрации: агентства</t>
        </is>
      </c>
      <c r="B47">
        <f>B14*$B$15*$B$16</f>
        <v/>
      </c>
      <c r="C47">
        <f>C14*$B$15*$B$16</f>
        <v/>
      </c>
      <c r="D47">
        <f>D14*$B$15*$B$16</f>
        <v/>
      </c>
      <c r="E47">
        <f>E14*$B$15*$B$16</f>
        <v/>
      </c>
      <c r="F47">
        <f>F14*$B$15*$B$16</f>
        <v/>
      </c>
      <c r="G47">
        <f>G14*$B$15*$B$16</f>
        <v/>
      </c>
      <c r="H47">
        <f>H14*$B$15*$B$16</f>
        <v/>
      </c>
      <c r="I47">
        <f>I14*$B$15*$B$16</f>
        <v/>
      </c>
      <c r="J47">
        <f>J14*$B$15*$B$16</f>
        <v/>
      </c>
      <c r="K47">
        <f>K14*$B$15*$B$16</f>
        <v/>
      </c>
      <c r="L47">
        <f>L14*$B$15*$B$16</f>
        <v/>
      </c>
      <c r="M47">
        <f>M14*$B$15*$B$16</f>
        <v/>
      </c>
      <c r="N47">
        <f>SUM(B47:M47)</f>
        <v/>
      </c>
    </row>
    <row r="48">
      <c r="A48" t="inlineStr">
        <is>
          <t>Лиды: партнёры (уже квалифицированы)</t>
        </is>
      </c>
      <c r="B48">
        <f>B10*$B$11</f>
        <v/>
      </c>
      <c r="C48">
        <f>C10*$B$11</f>
        <v/>
      </c>
      <c r="D48">
        <f>D10*$B$11</f>
        <v/>
      </c>
      <c r="E48">
        <f>E10*$B$11</f>
        <v/>
      </c>
      <c r="F48">
        <f>F10*$B$11</f>
        <v/>
      </c>
      <c r="G48">
        <f>G10*$B$11</f>
        <v/>
      </c>
      <c r="H48">
        <f>H10*$B$11</f>
        <v/>
      </c>
      <c r="I48">
        <f>I10*$B$11</f>
        <v/>
      </c>
      <c r="J48">
        <f>J10*$B$11</f>
        <v/>
      </c>
      <c r="K48">
        <f>K10*$B$11</f>
        <v/>
      </c>
      <c r="L48">
        <f>L10*$B$11</f>
        <v/>
      </c>
      <c r="M48">
        <f>M10*$B$11</f>
        <v/>
      </c>
      <c r="N48">
        <f>SUM(B48:M48)</f>
        <v/>
      </c>
    </row>
    <row r="49">
      <c r="A49" s="6" t="inlineStr">
        <is>
          <t>Итого регистраций</t>
        </is>
      </c>
      <c r="B49" s="6">
        <f>B44+B45+B46+B47+B48</f>
        <v/>
      </c>
      <c r="C49" s="6">
        <f>C44+C45+C46+C47+C48</f>
        <v/>
      </c>
      <c r="D49" s="6">
        <f>D44+D45+D46+D47+D48</f>
        <v/>
      </c>
      <c r="E49" s="6">
        <f>E44+E45+E46+E47+E48</f>
        <v/>
      </c>
      <c r="F49" s="6">
        <f>F44+F45+F46+F47+F48</f>
        <v/>
      </c>
      <c r="G49" s="6">
        <f>G44+G45+G46+G47+G48</f>
        <v/>
      </c>
      <c r="H49" s="6">
        <f>H44+H45+H46+H47+H48</f>
        <v/>
      </c>
      <c r="I49" s="6">
        <f>I44+I45+I46+I47+I48</f>
        <v/>
      </c>
      <c r="J49" s="6">
        <f>J44+J45+J46+J47+J48</f>
        <v/>
      </c>
      <c r="K49" s="6">
        <f>K44+K45+K46+K47+K48</f>
        <v/>
      </c>
      <c r="L49" s="6">
        <f>L44+L45+L46+L47+L48</f>
        <v/>
      </c>
      <c r="M49" s="6">
        <f>M44+M45+M46+M47+M48</f>
        <v/>
      </c>
      <c r="N49" s="6">
        <f>SUM(B49:M49)</f>
        <v/>
      </c>
    </row>
    <row r="50">
      <c r="A50" t="inlineStr">
        <is>
          <t>Квалифицировано: paid</t>
        </is>
      </c>
      <c r="B50">
        <f>B44*$B$20</f>
        <v/>
      </c>
      <c r="C50">
        <f>C44*$B$20</f>
        <v/>
      </c>
      <c r="D50">
        <f>D44*$B$20</f>
        <v/>
      </c>
      <c r="E50">
        <f>E44*$B$20</f>
        <v/>
      </c>
      <c r="F50">
        <f>F44*$B$20</f>
        <v/>
      </c>
      <c r="G50">
        <f>G44*$B$20</f>
        <v/>
      </c>
      <c r="H50">
        <f>H44*$B$20</f>
        <v/>
      </c>
      <c r="I50">
        <f>I44*$B$20</f>
        <v/>
      </c>
      <c r="J50">
        <f>J44*$B$20</f>
        <v/>
      </c>
      <c r="K50">
        <f>K44*$B$20</f>
        <v/>
      </c>
      <c r="L50">
        <f>L44*$B$20</f>
        <v/>
      </c>
      <c r="M50">
        <f>M44*$B$20</f>
        <v/>
      </c>
      <c r="N50">
        <f>SUM(B50:M50)</f>
        <v/>
      </c>
    </row>
    <row r="51">
      <c r="A51" t="inlineStr">
        <is>
          <t>Квалифицировано: комьюнити</t>
        </is>
      </c>
      <c r="B51">
        <f>B45*$B$21</f>
        <v/>
      </c>
      <c r="C51">
        <f>C45*$B$21</f>
        <v/>
      </c>
      <c r="D51">
        <f>D45*$B$21</f>
        <v/>
      </c>
      <c r="E51">
        <f>E45*$B$21</f>
        <v/>
      </c>
      <c r="F51">
        <f>F45*$B$21</f>
        <v/>
      </c>
      <c r="G51">
        <f>G45*$B$21</f>
        <v/>
      </c>
      <c r="H51">
        <f>H45*$B$21</f>
        <v/>
      </c>
      <c r="I51">
        <f>I45*$B$21</f>
        <v/>
      </c>
      <c r="J51">
        <f>J45*$B$21</f>
        <v/>
      </c>
      <c r="K51">
        <f>K45*$B$21</f>
        <v/>
      </c>
      <c r="L51">
        <f>L45*$B$21</f>
        <v/>
      </c>
      <c r="M51">
        <f>M45*$B$21</f>
        <v/>
      </c>
      <c r="N51">
        <f>SUM(B51:M51)</f>
        <v/>
      </c>
    </row>
    <row r="52">
      <c r="A52" t="inlineStr">
        <is>
          <t>Квалифицировано: SEO</t>
        </is>
      </c>
      <c r="B52">
        <f>B46*$B$23</f>
        <v/>
      </c>
      <c r="C52">
        <f>C46*$B$23</f>
        <v/>
      </c>
      <c r="D52">
        <f>D46*$B$23</f>
        <v/>
      </c>
      <c r="E52">
        <f>E46*$B$23</f>
        <v/>
      </c>
      <c r="F52">
        <f>F46*$B$23</f>
        <v/>
      </c>
      <c r="G52">
        <f>G46*$B$23</f>
        <v/>
      </c>
      <c r="H52">
        <f>H46*$B$23</f>
        <v/>
      </c>
      <c r="I52">
        <f>I46*$B$23</f>
        <v/>
      </c>
      <c r="J52">
        <f>J46*$B$23</f>
        <v/>
      </c>
      <c r="K52">
        <f>K46*$B$23</f>
        <v/>
      </c>
      <c r="L52">
        <f>L46*$B$23</f>
        <v/>
      </c>
      <c r="M52">
        <f>M46*$B$23</f>
        <v/>
      </c>
      <c r="N52">
        <f>SUM(B52:M52)</f>
        <v/>
      </c>
    </row>
    <row r="53">
      <c r="A53" t="inlineStr">
        <is>
          <t>Квалифицировано: агентства</t>
        </is>
      </c>
      <c r="B53">
        <f>B47*$B$25</f>
        <v/>
      </c>
      <c r="C53">
        <f>C47*$B$25</f>
        <v/>
      </c>
      <c r="D53">
        <f>D47*$B$25</f>
        <v/>
      </c>
      <c r="E53">
        <f>E47*$B$25</f>
        <v/>
      </c>
      <c r="F53">
        <f>F47*$B$25</f>
        <v/>
      </c>
      <c r="G53">
        <f>G47*$B$25</f>
        <v/>
      </c>
      <c r="H53">
        <f>H47*$B$25</f>
        <v/>
      </c>
      <c r="I53">
        <f>I47*$B$25</f>
        <v/>
      </c>
      <c r="J53">
        <f>J47*$B$25</f>
        <v/>
      </c>
      <c r="K53">
        <f>K47*$B$25</f>
        <v/>
      </c>
      <c r="L53">
        <f>L47*$B$25</f>
        <v/>
      </c>
      <c r="M53">
        <f>M47*$B$25</f>
        <v/>
      </c>
      <c r="N53">
        <f>SUM(B53:M53)</f>
        <v/>
      </c>
    </row>
    <row r="54">
      <c r="A54" t="inlineStr">
        <is>
          <t>Квалифицировано: партнёры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referral</t>
        </is>
      </c>
      <c r="B55" t="n">
        <v>0</v>
      </c>
      <c r="C55">
        <f>B59*$B$17*$B$24</f>
        <v/>
      </c>
      <c r="D55">
        <f>C59*$B$17*$B$24</f>
        <v/>
      </c>
      <c r="E55">
        <f>D59*$B$17*$B$24</f>
        <v/>
      </c>
      <c r="F55">
        <f>E59*$B$17*$B$24</f>
        <v/>
      </c>
      <c r="G55">
        <f>F59*$B$17*$B$24</f>
        <v/>
      </c>
      <c r="H55">
        <f>G59*$B$17*$B$24</f>
        <v/>
      </c>
      <c r="I55">
        <f>H59*$B$17*$B$24</f>
        <v/>
      </c>
      <c r="J55">
        <f>I59*$B$17*$B$24</f>
        <v/>
      </c>
      <c r="K55">
        <f>J59*$B$17*$B$24</f>
        <v/>
      </c>
      <c r="L55">
        <f>K59*$B$17*$B$24</f>
        <v/>
      </c>
      <c r="M55">
        <f>L59*$B$17*$B$24</f>
        <v/>
      </c>
      <c r="N55">
        <f>SUM(B55:M55)</f>
        <v/>
      </c>
    </row>
    <row r="56">
      <c r="A56" s="6" t="inlineStr">
        <is>
          <t>Итого квалифицированных</t>
        </is>
      </c>
      <c r="B56" s="6">
        <f>B50+B51+B52+B53+B54+B55</f>
        <v/>
      </c>
      <c r="C56" s="6">
        <f>C50+C51+C52+C53+C54+C55</f>
        <v/>
      </c>
      <c r="D56" s="6">
        <f>D50+D51+D52+D53+D54+D55</f>
        <v/>
      </c>
      <c r="E56" s="6">
        <f>E50+E51+E52+E53+E54+E55</f>
        <v/>
      </c>
      <c r="F56" s="6">
        <f>F50+F51+F52+F53+F54+F55</f>
        <v/>
      </c>
      <c r="G56" s="6">
        <f>G50+G51+G52+G53+G54+G55</f>
        <v/>
      </c>
      <c r="H56" s="6">
        <f>H50+H51+H52+H53+H54+H55</f>
        <v/>
      </c>
      <c r="I56" s="6">
        <f>I50+I51+I52+I53+I54+I55</f>
        <v/>
      </c>
      <c r="J56" s="6">
        <f>J50+J51+J52+J53+J54+J55</f>
        <v/>
      </c>
      <c r="K56" s="6">
        <f>K50+K51+K52+K53+K54+K55</f>
        <v/>
      </c>
      <c r="L56" s="6">
        <f>L50+L51+L52+L53+L54+L55</f>
        <v/>
      </c>
      <c r="M56" s="6">
        <f>M50+M51+M52+M53+M54+M55</f>
        <v/>
      </c>
      <c r="N56" s="6">
        <f>SUM(B56:M56)</f>
        <v/>
      </c>
    </row>
    <row r="57">
      <c r="A57" t="inlineStr">
        <is>
          <t>Сделки через агентства</t>
        </is>
      </c>
      <c r="B57">
        <f>ROUND(MIN(B56*$B$28,B14*B30),0)</f>
        <v/>
      </c>
      <c r="C57">
        <f>ROUND(MIN(C56*$B$28,C14*C30),0)</f>
        <v/>
      </c>
      <c r="D57">
        <f>ROUND(MIN(D56*$B$28,D14*D30),0)</f>
        <v/>
      </c>
      <c r="E57">
        <f>ROUND(MIN(E56*$B$28,E14*E30),0)</f>
        <v/>
      </c>
      <c r="F57">
        <f>ROUND(MIN(F56*$B$28,F14*F30),0)</f>
        <v/>
      </c>
      <c r="G57">
        <f>ROUND(MIN(G56*$B$28,G14*G30),0)</f>
        <v/>
      </c>
      <c r="H57">
        <f>ROUND(MIN(H56*$B$28,H14*H30),0)</f>
        <v/>
      </c>
      <c r="I57">
        <f>ROUND(MIN(I56*$B$28,I14*I30),0)</f>
        <v/>
      </c>
      <c r="J57">
        <f>ROUND(MIN(J56*$B$28,J14*J30),0)</f>
        <v/>
      </c>
      <c r="K57">
        <f>ROUND(MIN(K56*$B$28,K14*K30),0)</f>
        <v/>
      </c>
      <c r="L57">
        <f>ROUND(MIN(L56*$B$28,L14*L30),0)</f>
        <v/>
      </c>
      <c r="M57">
        <f>ROUND(MIN(M56*$B$28,M14*M30),0)</f>
        <v/>
      </c>
      <c r="N57">
        <f>SUM(B57:M57)</f>
        <v/>
      </c>
    </row>
    <row r="58">
      <c r="A58" t="inlineStr">
        <is>
          <t>Сделки на каталоге IS24</t>
        </is>
      </c>
      <c r="B58">
        <f>ROUND(B56*$B$29,0)</f>
        <v/>
      </c>
      <c r="C58">
        <f>ROUND(C56*$B$29,0)</f>
        <v/>
      </c>
      <c r="D58">
        <f>ROUND(D56*$B$29,0)</f>
        <v/>
      </c>
      <c r="E58">
        <f>ROUND(E56*$B$29,0)</f>
        <v/>
      </c>
      <c r="F58">
        <f>ROUND(F56*$B$29,0)</f>
        <v/>
      </c>
      <c r="G58">
        <f>ROUND(G56*$B$29,0)</f>
        <v/>
      </c>
      <c r="H58">
        <f>ROUND(H56*$B$29,0)</f>
        <v/>
      </c>
      <c r="I58">
        <f>ROUND(I56*$B$29,0)</f>
        <v/>
      </c>
      <c r="J58">
        <f>ROUND(J56*$B$29,0)</f>
        <v/>
      </c>
      <c r="K58">
        <f>ROUND(K56*$B$29,0)</f>
        <v/>
      </c>
      <c r="L58">
        <f>ROUND(L56*$B$29,0)</f>
        <v/>
      </c>
      <c r="M58">
        <f>ROUND(M56*$B$29,0)</f>
        <v/>
      </c>
      <c r="N58">
        <f>SUM(B58:M58)</f>
        <v/>
      </c>
    </row>
    <row r="59">
      <c r="A59" s="6" t="inlineStr">
        <is>
          <t>Сделок всего</t>
        </is>
      </c>
      <c r="B59" s="6">
        <f>B57+B58</f>
        <v/>
      </c>
      <c r="C59" s="6">
        <f>C57+C58</f>
        <v/>
      </c>
      <c r="D59" s="6">
        <f>D57+D58</f>
        <v/>
      </c>
      <c r="E59" s="6">
        <f>E57+E58</f>
        <v/>
      </c>
      <c r="F59" s="6">
        <f>F57+F58</f>
        <v/>
      </c>
      <c r="G59" s="6">
        <f>G57+G58</f>
        <v/>
      </c>
      <c r="H59" s="6">
        <f>H57+H58</f>
        <v/>
      </c>
      <c r="I59" s="6">
        <f>I57+I58</f>
        <v/>
      </c>
      <c r="J59" s="6">
        <f>J57+J58</f>
        <v/>
      </c>
      <c r="K59" s="6">
        <f>K57+K58</f>
        <v/>
      </c>
      <c r="L59" s="6">
        <f>L57+L58</f>
        <v/>
      </c>
      <c r="M59" s="6">
        <f>M57+M58</f>
        <v/>
      </c>
      <c r="N59" s="6">
        <f>SUM(B59:M59)</f>
        <v/>
      </c>
    </row>
    <row r="60">
      <c r="A60" t="inlineStr">
        <is>
          <t>Сделок с B2C fee</t>
        </is>
      </c>
      <c r="B60">
        <f>B58+ROUND(B57*$B$37,0)</f>
        <v/>
      </c>
      <c r="C60">
        <f>C58+ROUND(C57*$B$37,0)</f>
        <v/>
      </c>
      <c r="D60">
        <f>D58+ROUND(D57*$B$37,0)</f>
        <v/>
      </c>
      <c r="E60">
        <f>E58+ROUND(E57*$B$37,0)</f>
        <v/>
      </c>
      <c r="F60">
        <f>F58+ROUND(F57*$B$37,0)</f>
        <v/>
      </c>
      <c r="G60">
        <f>G58+ROUND(G57*$B$37,0)</f>
        <v/>
      </c>
      <c r="H60">
        <f>H58+ROUND(H57*$B$37,0)</f>
        <v/>
      </c>
      <c r="I60">
        <f>I58+ROUND(I57*$B$37,0)</f>
        <v/>
      </c>
      <c r="J60">
        <f>J58+ROUND(J57*$B$37,0)</f>
        <v/>
      </c>
      <c r="K60">
        <f>K58+ROUND(K57*$B$37,0)</f>
        <v/>
      </c>
      <c r="L60">
        <f>L58+ROUND(L57*$B$37,0)</f>
        <v/>
      </c>
      <c r="M60">
        <f>M58+ROUND(M57*$B$37,0)</f>
        <v/>
      </c>
      <c r="N60">
        <f>SUM(B60:M60)</f>
        <v/>
      </c>
    </row>
    <row r="62">
      <c r="A62" s="3" t="inlineStr">
        <is>
          <t>ВЫРУЧКА</t>
        </is>
      </c>
    </row>
    <row r="63">
      <c r="A63" t="inlineStr">
        <is>
          <t>R1+R2: сплит комиссии (аренда/продажа)</t>
        </is>
      </c>
      <c r="B63">
        <f>ROUND(B57*($B$35*$B$33+(1-$B$35)*$B$34),0)</f>
        <v/>
      </c>
      <c r="C63">
        <f>ROUND(C57*($B$35*$B$33+(1-$B$35)*$B$34),0)</f>
        <v/>
      </c>
      <c r="D63">
        <f>ROUND(D57*($B$35*$B$33+(1-$B$35)*$B$34),0)</f>
        <v/>
      </c>
      <c r="E63">
        <f>ROUND(E57*($B$35*$B$33+(1-$B$35)*$B$34),0)</f>
        <v/>
      </c>
      <c r="F63">
        <f>ROUND(F57*($B$35*$B$33+(1-$B$35)*$B$34),0)</f>
        <v/>
      </c>
      <c r="G63">
        <f>ROUND(G57*($B$35*$B$33+(1-$B$35)*$B$34),0)</f>
        <v/>
      </c>
      <c r="H63">
        <f>ROUND(H57*($B$35*$B$33+(1-$B$35)*$B$34),0)</f>
        <v/>
      </c>
      <c r="I63">
        <f>ROUND(I57*($B$35*$B$33+(1-$B$35)*$B$34),0)</f>
        <v/>
      </c>
      <c r="J63">
        <f>ROUND(J57*($B$35*$B$33+(1-$B$35)*$B$34),0)</f>
        <v/>
      </c>
      <c r="K63">
        <f>ROUND(K57*($B$35*$B$33+(1-$B$35)*$B$34),0)</f>
        <v/>
      </c>
      <c r="L63">
        <f>ROUND(L57*($B$35*$B$33+(1-$B$35)*$B$34),0)</f>
        <v/>
      </c>
      <c r="M63">
        <f>ROUND(M57*($B$35*$B$33+(1-$B$35)*$B$34),0)</f>
        <v/>
      </c>
      <c r="N63">
        <f>SUM(B63:M63)</f>
        <v/>
      </c>
    </row>
    <row r="64">
      <c r="A64" t="inlineStr">
        <is>
          <t>R3: B2C fee</t>
        </is>
      </c>
      <c r="B64">
        <f>B60*$B$36</f>
        <v/>
      </c>
      <c r="C64">
        <f>C60*$B$36</f>
        <v/>
      </c>
      <c r="D64">
        <f>D60*$B$36</f>
        <v/>
      </c>
      <c r="E64">
        <f>E60*$B$36</f>
        <v/>
      </c>
      <c r="F64">
        <f>F60*$B$36</f>
        <v/>
      </c>
      <c r="G64">
        <f>G60*$B$36</f>
        <v/>
      </c>
      <c r="H64">
        <f>H60*$B$36</f>
        <v/>
      </c>
      <c r="I64">
        <f>I60*$B$36</f>
        <v/>
      </c>
      <c r="J64">
        <f>J60*$B$36</f>
        <v/>
      </c>
      <c r="K64">
        <f>K60*$B$36</f>
        <v/>
      </c>
      <c r="L64">
        <f>L60*$B$36</f>
        <v/>
      </c>
      <c r="M64">
        <f>M60*$B$36</f>
        <v/>
      </c>
      <c r="N64">
        <f>SUM(B64:M64)</f>
        <v/>
      </c>
    </row>
    <row r="65">
      <c r="A65" t="inlineStr">
        <is>
          <t>R4: upsell</t>
        </is>
      </c>
      <c r="B65">
        <f>B41</f>
        <v/>
      </c>
      <c r="C65">
        <f>C41</f>
        <v/>
      </c>
      <c r="D65">
        <f>D41</f>
        <v/>
      </c>
      <c r="E65">
        <f>E41</f>
        <v/>
      </c>
      <c r="F65">
        <f>F41</f>
        <v/>
      </c>
      <c r="G65">
        <f>G41</f>
        <v/>
      </c>
      <c r="H65">
        <f>H41</f>
        <v/>
      </c>
      <c r="I65">
        <f>I41</f>
        <v/>
      </c>
      <c r="J65">
        <f>J41</f>
        <v/>
      </c>
      <c r="K65">
        <f>K41</f>
        <v/>
      </c>
      <c r="L65">
        <f>L41</f>
        <v/>
      </c>
      <c r="M65">
        <f>M41</f>
        <v/>
      </c>
      <c r="N65">
        <f>SUM(B65:M65)</f>
        <v/>
      </c>
    </row>
    <row r="66">
      <c r="A66" t="inlineStr">
        <is>
          <t>R5: реферал на мебель (Zolak)</t>
        </is>
      </c>
      <c r="B66">
        <f>ROUND(B59*$B$39*$B$40,0)</f>
        <v/>
      </c>
      <c r="C66">
        <f>ROUND(C59*$B$39*$B$40,0)</f>
        <v/>
      </c>
      <c r="D66">
        <f>ROUND(D59*$B$39*$B$40,0)</f>
        <v/>
      </c>
      <c r="E66">
        <f>ROUND(E59*$B$39*$B$40,0)</f>
        <v/>
      </c>
      <c r="F66">
        <f>ROUND(F59*$B$39*$B$40,0)</f>
        <v/>
      </c>
      <c r="G66">
        <f>ROUND(G59*$B$39*$B$40,0)</f>
        <v/>
      </c>
      <c r="H66">
        <f>ROUND(H59*$B$39*$B$40,0)</f>
        <v/>
      </c>
      <c r="I66">
        <f>ROUND(I59*$B$39*$B$40,0)</f>
        <v/>
      </c>
      <c r="J66">
        <f>ROUND(J59*$B$39*$B$40,0)</f>
        <v/>
      </c>
      <c r="K66">
        <f>ROUND(K59*$B$39*$B$40,0)</f>
        <v/>
      </c>
      <c r="L66">
        <f>ROUND(L59*$B$39*$B$40,0)</f>
        <v/>
      </c>
      <c r="M66">
        <f>ROUND(M59*$B$39*$B$40,0)</f>
        <v/>
      </c>
      <c r="N66">
        <f>SUM(B66:M66)</f>
        <v/>
      </c>
    </row>
    <row r="67">
      <c r="A67" s="6" t="inlineStr">
        <is>
          <t>TOTAL REVENUE</t>
        </is>
      </c>
      <c r="B67" s="6">
        <f>B63+B64+B65+B66</f>
        <v/>
      </c>
      <c r="C67" s="6">
        <f>C63+C64+C65+C66</f>
        <v/>
      </c>
      <c r="D67" s="6">
        <f>D63+D64+D65+D66</f>
        <v/>
      </c>
      <c r="E67" s="6">
        <f>E63+E64+E65+E66</f>
        <v/>
      </c>
      <c r="F67" s="6">
        <f>F63+F64+F65+F66</f>
        <v/>
      </c>
      <c r="G67" s="6">
        <f>G63+G64+G65+G66</f>
        <v/>
      </c>
      <c r="H67" s="6">
        <f>H63+H64+H65+H66</f>
        <v/>
      </c>
      <c r="I67" s="6">
        <f>I63+I64+I65+I66</f>
        <v/>
      </c>
      <c r="J67" s="6">
        <f>J63+J64+J65+J66</f>
        <v/>
      </c>
      <c r="K67" s="6">
        <f>K63+K64+K65+K66</f>
        <v/>
      </c>
      <c r="L67" s="6">
        <f>L63+L64+L65+L66</f>
        <v/>
      </c>
      <c r="M67" s="6">
        <f>M63+M64+M65+M66</f>
        <v/>
      </c>
      <c r="N67" s="6">
        <f>SUM(B67:M67)</f>
        <v/>
      </c>
    </row>
    <row r="69">
      <c r="A69" s="3" t="inlineStr">
        <is>
          <t>РАСХОДЫ</t>
        </is>
      </c>
    </row>
    <row r="70">
      <c r="A70" t="inlineStr">
        <is>
          <t>Маркетинг: paid</t>
        </is>
      </c>
      <c r="B70">
        <f>B6</f>
        <v/>
      </c>
      <c r="C70">
        <f>C6</f>
        <v/>
      </c>
      <c r="D70">
        <f>D6</f>
        <v/>
      </c>
      <c r="E70">
        <f>E6</f>
        <v/>
      </c>
      <c r="F70">
        <f>F6</f>
        <v/>
      </c>
      <c r="G70">
        <f>G6</f>
        <v/>
      </c>
      <c r="H70">
        <f>H6</f>
        <v/>
      </c>
      <c r="I70">
        <f>I6</f>
        <v/>
      </c>
      <c r="J70">
        <f>J6</f>
        <v/>
      </c>
      <c r="K70">
        <f>K6</f>
        <v/>
      </c>
      <c r="L70">
        <f>L6</f>
        <v/>
      </c>
      <c r="M70">
        <f>M6</f>
        <v/>
      </c>
      <c r="N70">
        <f>SUM(B70:M70)</f>
        <v/>
      </c>
    </row>
    <row r="71">
      <c r="A71" t="inlineStr">
        <is>
          <t>Контент / SEO</t>
        </is>
      </c>
      <c r="B71" s="8" t="n">
        <v>500</v>
      </c>
      <c r="C71" s="8" t="n">
        <v>500</v>
      </c>
      <c r="D71" s="8" t="n">
        <v>500</v>
      </c>
      <c r="E71" s="8" t="n">
        <v>500</v>
      </c>
      <c r="F71" s="8" t="n">
        <v>500</v>
      </c>
      <c r="G71" s="8" t="n">
        <v>500</v>
      </c>
      <c r="H71" s="8" t="n">
        <v>500</v>
      </c>
      <c r="I71" s="8" t="n">
        <v>500</v>
      </c>
      <c r="J71" s="8" t="n">
        <v>500</v>
      </c>
      <c r="K71" s="8" t="n">
        <v>500</v>
      </c>
      <c r="L71" s="8" t="n">
        <v>500</v>
      </c>
      <c r="M71" s="8" t="n">
        <v>500</v>
      </c>
      <c r="N71">
        <f>SUM(B71:M71)</f>
        <v/>
      </c>
    </row>
    <row r="72">
      <c r="A72" t="inlineStr">
        <is>
          <t>Продажник (BD): базовая ЗП, DE-speaking</t>
        </is>
      </c>
      <c r="B72" s="8" t="n">
        <v>1200</v>
      </c>
      <c r="C72" s="8" t="n">
        <v>1291</v>
      </c>
      <c r="D72" s="8" t="n">
        <v>1382</v>
      </c>
      <c r="E72" s="8" t="n">
        <v>1473</v>
      </c>
      <c r="F72" s="8" t="n">
        <v>1564</v>
      </c>
      <c r="G72" s="8" t="n">
        <v>1655</v>
      </c>
      <c r="H72" s="8" t="n">
        <v>1745</v>
      </c>
      <c r="I72" s="8" t="n">
        <v>1836</v>
      </c>
      <c r="J72" s="8" t="n">
        <v>1927</v>
      </c>
      <c r="K72" s="8" t="n">
        <v>2018</v>
      </c>
      <c r="L72" s="8" t="n">
        <v>2109</v>
      </c>
      <c r="M72" s="8" t="n">
        <v>2200</v>
      </c>
      <c r="N72">
        <f>SUM(B72:M72)</f>
        <v/>
      </c>
    </row>
    <row r="73">
      <c r="A73" t="inlineStr">
        <is>
          <t>Команда: dev / support (контракторы)</t>
        </is>
      </c>
      <c r="B73" s="8" t="n">
        <v>3000</v>
      </c>
      <c r="C73" s="8" t="n">
        <v>3000</v>
      </c>
      <c r="D73" s="8" t="n">
        <v>3000</v>
      </c>
      <c r="E73" s="8" t="n">
        <v>3500</v>
      </c>
      <c r="F73" s="8" t="n">
        <v>3500</v>
      </c>
      <c r="G73" s="8" t="n">
        <v>3500</v>
      </c>
      <c r="H73" s="8" t="n">
        <v>4000</v>
      </c>
      <c r="I73" s="8" t="n">
        <v>4000</v>
      </c>
      <c r="J73" s="8" t="n">
        <v>4000</v>
      </c>
      <c r="K73" s="8" t="n">
        <v>4500</v>
      </c>
      <c r="L73" s="8" t="n">
        <v>4500</v>
      </c>
      <c r="M73" s="8" t="n">
        <v>4500</v>
      </c>
      <c r="N73">
        <f>SUM(B73:M73)</f>
        <v/>
      </c>
    </row>
    <row r="74">
      <c r="A74" t="inlineStr">
        <is>
          <t>Инфраструктура + AI API</t>
        </is>
      </c>
      <c r="B74" s="8" t="n">
        <v>700</v>
      </c>
      <c r="C74" s="8" t="n">
        <v>750</v>
      </c>
      <c r="D74" s="8" t="n">
        <v>800</v>
      </c>
      <c r="E74" s="8" t="n">
        <v>850</v>
      </c>
      <c r="F74" s="8" t="n">
        <v>900</v>
      </c>
      <c r="G74" s="8" t="n">
        <v>950</v>
      </c>
      <c r="H74" s="8" t="n">
        <v>1000</v>
      </c>
      <c r="I74" s="8" t="n">
        <v>1050</v>
      </c>
      <c r="J74" s="8" t="n">
        <v>1100</v>
      </c>
      <c r="K74" s="8" t="n">
        <v>1150</v>
      </c>
      <c r="L74" s="8" t="n">
        <v>1200</v>
      </c>
      <c r="M74" s="8" t="n">
        <v>1250</v>
      </c>
      <c r="N74">
        <f>SUM(B74:M74)</f>
        <v/>
      </c>
    </row>
    <row r="75">
      <c r="A75" t="inlineStr">
        <is>
          <t>Tools, legal, прочее</t>
        </is>
      </c>
      <c r="B75" s="8" t="n">
        <v>500</v>
      </c>
      <c r="C75" s="8" t="n">
        <v>500</v>
      </c>
      <c r="D75" s="8" t="n">
        <v>500</v>
      </c>
      <c r="E75" s="8" t="n">
        <v>600</v>
      </c>
      <c r="F75" s="8" t="n">
        <v>600</v>
      </c>
      <c r="G75" s="8" t="n">
        <v>600</v>
      </c>
      <c r="H75" s="8" t="n">
        <v>700</v>
      </c>
      <c r="I75" s="8" t="n">
        <v>700</v>
      </c>
      <c r="J75" s="8" t="n">
        <v>700</v>
      </c>
      <c r="K75" s="8" t="n">
        <v>800</v>
      </c>
      <c r="L75" s="8" t="n">
        <v>800</v>
      </c>
      <c r="M75" s="8" t="n">
        <v>800</v>
      </c>
      <c r="N75">
        <f>SUM(B75:M75)</f>
        <v/>
      </c>
    </row>
    <row r="76">
      <c r="A76" t="inlineStr">
        <is>
          <t>Продажник: комиссия (% от R1+R2)</t>
        </is>
      </c>
      <c r="B76">
        <f>ROUND(B63*$B$38,0)</f>
        <v/>
      </c>
      <c r="C76">
        <f>ROUND(C63*$B$38,0)</f>
        <v/>
      </c>
      <c r="D76">
        <f>ROUND(D63*$B$38,0)</f>
        <v/>
      </c>
      <c r="E76">
        <f>ROUND(E63*$B$38,0)</f>
        <v/>
      </c>
      <c r="F76">
        <f>ROUND(F63*$B$38,0)</f>
        <v/>
      </c>
      <c r="G76">
        <f>ROUND(G63*$B$38,0)</f>
        <v/>
      </c>
      <c r="H76">
        <f>ROUND(H63*$B$38,0)</f>
        <v/>
      </c>
      <c r="I76">
        <f>ROUND(I63*$B$38,0)</f>
        <v/>
      </c>
      <c r="J76">
        <f>ROUND(J63*$B$38,0)</f>
        <v/>
      </c>
      <c r="K76">
        <f>ROUND(K63*$B$38,0)</f>
        <v/>
      </c>
      <c r="L76">
        <f>ROUND(L63*$B$38,0)</f>
        <v/>
      </c>
      <c r="M76">
        <f>ROUND(M63*$B$38,0)</f>
        <v/>
      </c>
      <c r="N76">
        <f>SUM(B76:M76)</f>
        <v/>
      </c>
    </row>
    <row r="77">
      <c r="A77" s="6" t="inlineStr">
        <is>
          <t>TOTAL COSTS</t>
        </is>
      </c>
      <c r="B77" s="6">
        <f>B70+B71+B72+B73+B74+B75+B76</f>
        <v/>
      </c>
      <c r="C77" s="6">
        <f>C70+C71+C72+C73+C74+C75+C76</f>
        <v/>
      </c>
      <c r="D77" s="6">
        <f>D70+D71+D72+D73+D74+D75+D76</f>
        <v/>
      </c>
      <c r="E77" s="6">
        <f>E70+E71+E72+E73+E74+E75+E76</f>
        <v/>
      </c>
      <c r="F77" s="6">
        <f>F70+F71+F72+F73+F74+F75+F76</f>
        <v/>
      </c>
      <c r="G77" s="6">
        <f>G70+G71+G72+G73+G74+G75+G76</f>
        <v/>
      </c>
      <c r="H77" s="6">
        <f>H70+H71+H72+H73+H74+H75+H76</f>
        <v/>
      </c>
      <c r="I77" s="6">
        <f>I70+I71+I72+I73+I74+I75+I76</f>
        <v/>
      </c>
      <c r="J77" s="6">
        <f>J70+J71+J72+J73+J74+J75+J76</f>
        <v/>
      </c>
      <c r="K77" s="6">
        <f>K70+K71+K72+K73+K74+K75+K76</f>
        <v/>
      </c>
      <c r="L77" s="6">
        <f>L70+L71+L72+L73+L74+L75+L76</f>
        <v/>
      </c>
      <c r="M77" s="6">
        <f>M70+M71+M72+M73+M74+M75+M76</f>
        <v/>
      </c>
      <c r="N77" s="6">
        <f>SUM(B77:M77)</f>
        <v/>
      </c>
    </row>
    <row r="79">
      <c r="A79" s="6" t="inlineStr">
        <is>
          <t>EBITDA</t>
        </is>
      </c>
      <c r="B79" s="6">
        <f>B67-B77</f>
        <v/>
      </c>
      <c r="C79" s="6">
        <f>C67-C77</f>
        <v/>
      </c>
      <c r="D79" s="6">
        <f>D67-D77</f>
        <v/>
      </c>
      <c r="E79" s="6">
        <f>E67-E77</f>
        <v/>
      </c>
      <c r="F79" s="6">
        <f>F67-F77</f>
        <v/>
      </c>
      <c r="G79" s="6">
        <f>G67-G77</f>
        <v/>
      </c>
      <c r="H79" s="6">
        <f>H67-H77</f>
        <v/>
      </c>
      <c r="I79" s="6">
        <f>I67-I77</f>
        <v/>
      </c>
      <c r="J79" s="6">
        <f>J67-J77</f>
        <v/>
      </c>
      <c r="K79" s="6">
        <f>K67-K77</f>
        <v/>
      </c>
      <c r="L79" s="6">
        <f>L67-L77</f>
        <v/>
      </c>
      <c r="M79" s="6">
        <f>M67-M77</f>
        <v/>
      </c>
      <c r="N79" s="6">
        <f>SUM(B79:M79)</f>
        <v/>
      </c>
    </row>
    <row r="80">
      <c r="A80" t="inlineStr">
        <is>
          <t>Кэш (старт €18,000)</t>
        </is>
      </c>
      <c r="B80">
        <f>18000+B79</f>
        <v/>
      </c>
      <c r="C80">
        <f>B80+C79</f>
        <v/>
      </c>
      <c r="D80">
        <f>C80+D79</f>
        <v/>
      </c>
      <c r="E80">
        <f>D80+E79</f>
        <v/>
      </c>
      <c r="F80">
        <f>E80+F79</f>
        <v/>
      </c>
      <c r="G80">
        <f>F80+G79</f>
        <v/>
      </c>
      <c r="H80">
        <f>G80+H79</f>
        <v/>
      </c>
      <c r="I80">
        <f>H80+I79</f>
        <v/>
      </c>
      <c r="J80">
        <f>I80+J79</f>
        <v/>
      </c>
      <c r="K80">
        <f>J80+K79</f>
        <v/>
      </c>
      <c r="L80">
        <f>K80+L79</f>
        <v/>
      </c>
      <c r="M80">
        <f>L80+M79</f>
        <v/>
      </c>
    </row>
    <row r="82">
      <c r="A82" s="3" t="inlineStr">
        <is>
          <t>ЮНИТ-ЭКОНОМИКА (год)</t>
        </is>
      </c>
    </row>
    <row r="83">
      <c r="A83" t="inlineStr">
        <is>
          <t>CAC на квалифицированного лида, €</t>
        </is>
      </c>
      <c r="B83">
        <f>ROUND(N6/N56,0)</f>
        <v/>
      </c>
    </row>
    <row r="84">
      <c r="A84" t="inlineStr">
        <is>
          <t>CAC на сделку, €</t>
        </is>
      </c>
      <c r="B84">
        <f>ROUND(N6/N59,0)</f>
        <v/>
      </c>
    </row>
    <row r="85">
      <c r="A85" t="inlineStr">
        <is>
          <t>Выручка на агентскую сделку, €</t>
        </is>
      </c>
      <c r="B85">
        <f>ROUND($B$35*$B$33+(1-$B$35)*$B$34,0)</f>
        <v/>
      </c>
    </row>
    <row r="86">
      <c r="A86" t="inlineStr">
        <is>
          <t>LTV / CAC (агентский канал)</t>
        </is>
      </c>
      <c r="B86">
        <f>ROUND(B85/B84,1)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PESSIMISTIC,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SEO: гео-страницы на базе каталога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0.08</v>
      </c>
    </row>
    <row r="29">
      <c r="A29" t="inlineStr">
        <is>
          <t>Квалифицированный → сделка на каталоге IS24</t>
        </is>
      </c>
      <c r="B29" s="8" t="n">
        <v>0.025</v>
      </c>
    </row>
    <row r="30">
      <c r="A30" t="inlineStr">
        <is>
          <t>Потолок сделок на агентство / мес</t>
        </is>
      </c>
      <c r="B30" s="8" t="n">
        <v>0.5</v>
      </c>
      <c r="C30" s="8" t="n">
        <v>0.5</v>
      </c>
      <c r="D30" s="8" t="n">
        <v>1</v>
      </c>
      <c r="E30" s="8" t="n">
        <v>1</v>
      </c>
      <c r="F30" s="8" t="n">
        <v>1</v>
      </c>
      <c r="G30" s="8" t="n">
        <v>1.5</v>
      </c>
      <c r="H30" s="8" t="n">
        <v>1.5</v>
      </c>
      <c r="I30" s="8" t="n">
        <v>1.5</v>
      </c>
      <c r="J30" s="8" t="n">
        <v>2</v>
      </c>
      <c r="K30" s="8" t="n">
        <v>2</v>
      </c>
      <c r="L30" s="8" t="n">
        <v>2</v>
      </c>
      <c r="M30" s="8" t="n">
        <v>2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Zolak: средний чек мебели, €</t>
        </is>
      </c>
      <c r="B39" s="8" t="n">
        <v>3000</v>
      </c>
    </row>
    <row r="40">
      <c r="A40" t="inlineStr">
        <is>
          <t>Zolak: наша доля от мебели</t>
        </is>
      </c>
      <c r="B40" s="8" t="n">
        <v>0.015</v>
      </c>
    </row>
    <row r="41">
      <c r="A41" t="inlineStr">
        <is>
          <t>Upsell агентствам, €/мес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  <c r="G41" s="8" t="n">
        <v>0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0</v>
      </c>
      <c r="N41">
        <f>SUM(B41:M41)</f>
        <v/>
      </c>
    </row>
    <row r="43">
      <c r="A43" s="3" t="inlineStr">
        <is>
          <t>ВОРОНКА</t>
        </is>
      </c>
    </row>
    <row r="44">
      <c r="A44" t="inlineStr">
        <is>
          <t>Регистрации: paid</t>
        </is>
      </c>
      <c r="B44">
        <f>B6/$B$7*$B$8</f>
        <v/>
      </c>
      <c r="C44">
        <f>C6/$B$7*$B$8</f>
        <v/>
      </c>
      <c r="D44">
        <f>D6/$B$7*$B$8</f>
        <v/>
      </c>
      <c r="E44">
        <f>E6/$B$7*$B$8</f>
        <v/>
      </c>
      <c r="F44">
        <f>F6/$B$7*$B$8</f>
        <v/>
      </c>
      <c r="G44">
        <f>G6/$B$7*$B$8</f>
        <v/>
      </c>
      <c r="H44">
        <f>H6/$B$7*$B$8</f>
        <v/>
      </c>
      <c r="I44">
        <f>I6/$B$7*$B$8</f>
        <v/>
      </c>
      <c r="J44">
        <f>J6/$B$7*$B$8</f>
        <v/>
      </c>
      <c r="K44">
        <f>K6/$B$7*$B$8</f>
        <v/>
      </c>
      <c r="L44">
        <f>L6/$B$7*$B$8</f>
        <v/>
      </c>
      <c r="M44">
        <f>M6/$B$7*$B$8</f>
        <v/>
      </c>
      <c r="N44">
        <f>SUM(B44:M44)</f>
        <v/>
      </c>
    </row>
    <row r="45">
      <c r="A45" t="inlineStr">
        <is>
          <t>Регистрации: комьюнити</t>
        </is>
      </c>
      <c r="B45">
        <f>B9</f>
        <v/>
      </c>
      <c r="C45">
        <f>C9</f>
        <v/>
      </c>
      <c r="D45">
        <f>D9</f>
        <v/>
      </c>
      <c r="E45">
        <f>E9</f>
        <v/>
      </c>
      <c r="F45">
        <f>F9</f>
        <v/>
      </c>
      <c r="G45">
        <f>G9</f>
        <v/>
      </c>
      <c r="H45">
        <f>H9</f>
        <v/>
      </c>
      <c r="I45">
        <f>I9</f>
        <v/>
      </c>
      <c r="J45">
        <f>J9</f>
        <v/>
      </c>
      <c r="K45">
        <f>K9</f>
        <v/>
      </c>
      <c r="L45">
        <f>L9</f>
        <v/>
      </c>
      <c r="M45">
        <f>M9</f>
        <v/>
      </c>
      <c r="N45">
        <f>SUM(B45:M45)</f>
        <v/>
      </c>
    </row>
    <row r="46">
      <c r="A46" t="inlineStr">
        <is>
          <t>Регистрации: SEO</t>
        </is>
      </c>
      <c r="B46">
        <f>B12*$B$13</f>
        <v/>
      </c>
      <c r="C46">
        <f>C12*$B$13</f>
        <v/>
      </c>
      <c r="D46">
        <f>D12*$B$13</f>
        <v/>
      </c>
      <c r="E46">
        <f>E12*$B$13</f>
        <v/>
      </c>
      <c r="F46">
        <f>F12*$B$13</f>
        <v/>
      </c>
      <c r="G46">
        <f>G12*$B$13</f>
        <v/>
      </c>
      <c r="H46">
        <f>H12*$B$13</f>
        <v/>
      </c>
      <c r="I46">
        <f>I12*$B$13</f>
        <v/>
      </c>
      <c r="J46">
        <f>J12*$B$13</f>
        <v/>
      </c>
      <c r="K46">
        <f>K12*$B$13</f>
        <v/>
      </c>
      <c r="L46">
        <f>L12*$B$13</f>
        <v/>
      </c>
      <c r="M46">
        <f>M12*$B$13</f>
        <v/>
      </c>
      <c r="N46">
        <f>SUM(B46:M46)</f>
        <v/>
      </c>
    </row>
    <row r="47">
      <c r="A47" t="inlineStr">
        <is>
          <t>Регистрации: агентства</t>
        </is>
      </c>
      <c r="B47">
        <f>B14*$B$15*$B$16</f>
        <v/>
      </c>
      <c r="C47">
        <f>C14*$B$15*$B$16</f>
        <v/>
      </c>
      <c r="D47">
        <f>D14*$B$15*$B$16</f>
        <v/>
      </c>
      <c r="E47">
        <f>E14*$B$15*$B$16</f>
        <v/>
      </c>
      <c r="F47">
        <f>F14*$B$15*$B$16</f>
        <v/>
      </c>
      <c r="G47">
        <f>G14*$B$15*$B$16</f>
        <v/>
      </c>
      <c r="H47">
        <f>H14*$B$15*$B$16</f>
        <v/>
      </c>
      <c r="I47">
        <f>I14*$B$15*$B$16</f>
        <v/>
      </c>
      <c r="J47">
        <f>J14*$B$15*$B$16</f>
        <v/>
      </c>
      <c r="K47">
        <f>K14*$B$15*$B$16</f>
        <v/>
      </c>
      <c r="L47">
        <f>L14*$B$15*$B$16</f>
        <v/>
      </c>
      <c r="M47">
        <f>M14*$B$15*$B$16</f>
        <v/>
      </c>
      <c r="N47">
        <f>SUM(B47:M47)</f>
        <v/>
      </c>
    </row>
    <row r="48">
      <c r="A48" t="inlineStr">
        <is>
          <t>Лиды: партнёры (уже квалифицированы)</t>
        </is>
      </c>
      <c r="B48">
        <f>B10*$B$11</f>
        <v/>
      </c>
      <c r="C48">
        <f>C10*$B$11</f>
        <v/>
      </c>
      <c r="D48">
        <f>D10*$B$11</f>
        <v/>
      </c>
      <c r="E48">
        <f>E10*$B$11</f>
        <v/>
      </c>
      <c r="F48">
        <f>F10*$B$11</f>
        <v/>
      </c>
      <c r="G48">
        <f>G10*$B$11</f>
        <v/>
      </c>
      <c r="H48">
        <f>H10*$B$11</f>
        <v/>
      </c>
      <c r="I48">
        <f>I10*$B$11</f>
        <v/>
      </c>
      <c r="J48">
        <f>J10*$B$11</f>
        <v/>
      </c>
      <c r="K48">
        <f>K10*$B$11</f>
        <v/>
      </c>
      <c r="L48">
        <f>L10*$B$11</f>
        <v/>
      </c>
      <c r="M48">
        <f>M10*$B$11</f>
        <v/>
      </c>
      <c r="N48">
        <f>SUM(B48:M48)</f>
        <v/>
      </c>
    </row>
    <row r="49">
      <c r="A49" s="6" t="inlineStr">
        <is>
          <t>Итого регистраций</t>
        </is>
      </c>
      <c r="B49" s="6">
        <f>B44+B45+B46+B47+B48</f>
        <v/>
      </c>
      <c r="C49" s="6">
        <f>C44+C45+C46+C47+C48</f>
        <v/>
      </c>
      <c r="D49" s="6">
        <f>D44+D45+D46+D47+D48</f>
        <v/>
      </c>
      <c r="E49" s="6">
        <f>E44+E45+E46+E47+E48</f>
        <v/>
      </c>
      <c r="F49" s="6">
        <f>F44+F45+F46+F47+F48</f>
        <v/>
      </c>
      <c r="G49" s="6">
        <f>G44+G45+G46+G47+G48</f>
        <v/>
      </c>
      <c r="H49" s="6">
        <f>H44+H45+H46+H47+H48</f>
        <v/>
      </c>
      <c r="I49" s="6">
        <f>I44+I45+I46+I47+I48</f>
        <v/>
      </c>
      <c r="J49" s="6">
        <f>J44+J45+J46+J47+J48</f>
        <v/>
      </c>
      <c r="K49" s="6">
        <f>K44+K45+K46+K47+K48</f>
        <v/>
      </c>
      <c r="L49" s="6">
        <f>L44+L45+L46+L47+L48</f>
        <v/>
      </c>
      <c r="M49" s="6">
        <f>M44+M45+M46+M47+M48</f>
        <v/>
      </c>
      <c r="N49" s="6">
        <f>SUM(B49:M49)</f>
        <v/>
      </c>
    </row>
    <row r="50">
      <c r="A50" t="inlineStr">
        <is>
          <t>Квалифицировано: paid</t>
        </is>
      </c>
      <c r="B50">
        <f>B44*$B$20</f>
        <v/>
      </c>
      <c r="C50">
        <f>C44*$B$20</f>
        <v/>
      </c>
      <c r="D50">
        <f>D44*$B$20</f>
        <v/>
      </c>
      <c r="E50">
        <f>E44*$B$20</f>
        <v/>
      </c>
      <c r="F50">
        <f>F44*$B$20</f>
        <v/>
      </c>
      <c r="G50">
        <f>G44*$B$20</f>
        <v/>
      </c>
      <c r="H50">
        <f>H44*$B$20</f>
        <v/>
      </c>
      <c r="I50">
        <f>I44*$B$20</f>
        <v/>
      </c>
      <c r="J50">
        <f>J44*$B$20</f>
        <v/>
      </c>
      <c r="K50">
        <f>K44*$B$20</f>
        <v/>
      </c>
      <c r="L50">
        <f>L44*$B$20</f>
        <v/>
      </c>
      <c r="M50">
        <f>M44*$B$20</f>
        <v/>
      </c>
      <c r="N50">
        <f>SUM(B50:M50)</f>
        <v/>
      </c>
    </row>
    <row r="51">
      <c r="A51" t="inlineStr">
        <is>
          <t>Квалифицировано: комьюнити</t>
        </is>
      </c>
      <c r="B51">
        <f>B45*$B$21</f>
        <v/>
      </c>
      <c r="C51">
        <f>C45*$B$21</f>
        <v/>
      </c>
      <c r="D51">
        <f>D45*$B$21</f>
        <v/>
      </c>
      <c r="E51">
        <f>E45*$B$21</f>
        <v/>
      </c>
      <c r="F51">
        <f>F45*$B$21</f>
        <v/>
      </c>
      <c r="G51">
        <f>G45*$B$21</f>
        <v/>
      </c>
      <c r="H51">
        <f>H45*$B$21</f>
        <v/>
      </c>
      <c r="I51">
        <f>I45*$B$21</f>
        <v/>
      </c>
      <c r="J51">
        <f>J45*$B$21</f>
        <v/>
      </c>
      <c r="K51">
        <f>K45*$B$21</f>
        <v/>
      </c>
      <c r="L51">
        <f>L45*$B$21</f>
        <v/>
      </c>
      <c r="M51">
        <f>M45*$B$21</f>
        <v/>
      </c>
      <c r="N51">
        <f>SUM(B51:M51)</f>
        <v/>
      </c>
    </row>
    <row r="52">
      <c r="A52" t="inlineStr">
        <is>
          <t>Квалифицировано: SEO</t>
        </is>
      </c>
      <c r="B52">
        <f>B46*$B$23</f>
        <v/>
      </c>
      <c r="C52">
        <f>C46*$B$23</f>
        <v/>
      </c>
      <c r="D52">
        <f>D46*$B$23</f>
        <v/>
      </c>
      <c r="E52">
        <f>E46*$B$23</f>
        <v/>
      </c>
      <c r="F52">
        <f>F46*$B$23</f>
        <v/>
      </c>
      <c r="G52">
        <f>G46*$B$23</f>
        <v/>
      </c>
      <c r="H52">
        <f>H46*$B$23</f>
        <v/>
      </c>
      <c r="I52">
        <f>I46*$B$23</f>
        <v/>
      </c>
      <c r="J52">
        <f>J46*$B$23</f>
        <v/>
      </c>
      <c r="K52">
        <f>K46*$B$23</f>
        <v/>
      </c>
      <c r="L52">
        <f>L46*$B$23</f>
        <v/>
      </c>
      <c r="M52">
        <f>M46*$B$23</f>
        <v/>
      </c>
      <c r="N52">
        <f>SUM(B52:M52)</f>
        <v/>
      </c>
    </row>
    <row r="53">
      <c r="A53" t="inlineStr">
        <is>
          <t>Квалифицировано: агентства</t>
        </is>
      </c>
      <c r="B53">
        <f>B47*$B$25</f>
        <v/>
      </c>
      <c r="C53">
        <f>C47*$B$25</f>
        <v/>
      </c>
      <c r="D53">
        <f>D47*$B$25</f>
        <v/>
      </c>
      <c r="E53">
        <f>E47*$B$25</f>
        <v/>
      </c>
      <c r="F53">
        <f>F47*$B$25</f>
        <v/>
      </c>
      <c r="G53">
        <f>G47*$B$25</f>
        <v/>
      </c>
      <c r="H53">
        <f>H47*$B$25</f>
        <v/>
      </c>
      <c r="I53">
        <f>I47*$B$25</f>
        <v/>
      </c>
      <c r="J53">
        <f>J47*$B$25</f>
        <v/>
      </c>
      <c r="K53">
        <f>K47*$B$25</f>
        <v/>
      </c>
      <c r="L53">
        <f>L47*$B$25</f>
        <v/>
      </c>
      <c r="M53">
        <f>M47*$B$25</f>
        <v/>
      </c>
      <c r="N53">
        <f>SUM(B53:M53)</f>
        <v/>
      </c>
    </row>
    <row r="54">
      <c r="A54" t="inlineStr">
        <is>
          <t>Квалифицировано: партнёры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referral</t>
        </is>
      </c>
      <c r="B55" t="n">
        <v>0</v>
      </c>
      <c r="C55">
        <f>B59*$B$17*$B$24</f>
        <v/>
      </c>
      <c r="D55">
        <f>C59*$B$17*$B$24</f>
        <v/>
      </c>
      <c r="E55">
        <f>D59*$B$17*$B$24</f>
        <v/>
      </c>
      <c r="F55">
        <f>E59*$B$17*$B$24</f>
        <v/>
      </c>
      <c r="G55">
        <f>F59*$B$17*$B$24</f>
        <v/>
      </c>
      <c r="H55">
        <f>G59*$B$17*$B$24</f>
        <v/>
      </c>
      <c r="I55">
        <f>H59*$B$17*$B$24</f>
        <v/>
      </c>
      <c r="J55">
        <f>I59*$B$17*$B$24</f>
        <v/>
      </c>
      <c r="K55">
        <f>J59*$B$17*$B$24</f>
        <v/>
      </c>
      <c r="L55">
        <f>K59*$B$17*$B$24</f>
        <v/>
      </c>
      <c r="M55">
        <f>L59*$B$17*$B$24</f>
        <v/>
      </c>
      <c r="N55">
        <f>SUM(B55:M55)</f>
        <v/>
      </c>
    </row>
    <row r="56">
      <c r="A56" s="6" t="inlineStr">
        <is>
          <t>Итого квалифицированных</t>
        </is>
      </c>
      <c r="B56" s="6">
        <f>B50+B51+B52+B53+B54+B55</f>
        <v/>
      </c>
      <c r="C56" s="6">
        <f>C50+C51+C52+C53+C54+C55</f>
        <v/>
      </c>
      <c r="D56" s="6">
        <f>D50+D51+D52+D53+D54+D55</f>
        <v/>
      </c>
      <c r="E56" s="6">
        <f>E50+E51+E52+E53+E54+E55</f>
        <v/>
      </c>
      <c r="F56" s="6">
        <f>F50+F51+F52+F53+F54+F55</f>
        <v/>
      </c>
      <c r="G56" s="6">
        <f>G50+G51+G52+G53+G54+G55</f>
        <v/>
      </c>
      <c r="H56" s="6">
        <f>H50+H51+H52+H53+H54+H55</f>
        <v/>
      </c>
      <c r="I56" s="6">
        <f>I50+I51+I52+I53+I54+I55</f>
        <v/>
      </c>
      <c r="J56" s="6">
        <f>J50+J51+J52+J53+J54+J55</f>
        <v/>
      </c>
      <c r="K56" s="6">
        <f>K50+K51+K52+K53+K54+K55</f>
        <v/>
      </c>
      <c r="L56" s="6">
        <f>L50+L51+L52+L53+L54+L55</f>
        <v/>
      </c>
      <c r="M56" s="6">
        <f>M50+M51+M52+M53+M54+M55</f>
        <v/>
      </c>
      <c r="N56" s="6">
        <f>SUM(B56:M56)</f>
        <v/>
      </c>
    </row>
    <row r="57">
      <c r="A57" t="inlineStr">
        <is>
          <t>Сделки через агентства</t>
        </is>
      </c>
      <c r="B57">
        <f>ROUND(MIN(B56*$B$28,B14*B30),0)</f>
        <v/>
      </c>
      <c r="C57">
        <f>ROUND(MIN(C56*$B$28,C14*C30),0)</f>
        <v/>
      </c>
      <c r="D57">
        <f>ROUND(MIN(D56*$B$28,D14*D30),0)</f>
        <v/>
      </c>
      <c r="E57">
        <f>ROUND(MIN(E56*$B$28,E14*E30),0)</f>
        <v/>
      </c>
      <c r="F57">
        <f>ROUND(MIN(F56*$B$28,F14*F30),0)</f>
        <v/>
      </c>
      <c r="G57">
        <f>ROUND(MIN(G56*$B$28,G14*G30),0)</f>
        <v/>
      </c>
      <c r="H57">
        <f>ROUND(MIN(H56*$B$28,H14*H30),0)</f>
        <v/>
      </c>
      <c r="I57">
        <f>ROUND(MIN(I56*$B$28,I14*I30),0)</f>
        <v/>
      </c>
      <c r="J57">
        <f>ROUND(MIN(J56*$B$28,J14*J30),0)</f>
        <v/>
      </c>
      <c r="K57">
        <f>ROUND(MIN(K56*$B$28,K14*K30),0)</f>
        <v/>
      </c>
      <c r="L57">
        <f>ROUND(MIN(L56*$B$28,L14*L30),0)</f>
        <v/>
      </c>
      <c r="M57">
        <f>ROUND(MIN(M56*$B$28,M14*M30),0)</f>
        <v/>
      </c>
      <c r="N57">
        <f>SUM(B57:M57)</f>
        <v/>
      </c>
    </row>
    <row r="58">
      <c r="A58" t="inlineStr">
        <is>
          <t>Сделки на каталоге IS24</t>
        </is>
      </c>
      <c r="B58">
        <f>ROUND(B56*$B$29,0)</f>
        <v/>
      </c>
      <c r="C58">
        <f>ROUND(C56*$B$29,0)</f>
        <v/>
      </c>
      <c r="D58">
        <f>ROUND(D56*$B$29,0)</f>
        <v/>
      </c>
      <c r="E58">
        <f>ROUND(E56*$B$29,0)</f>
        <v/>
      </c>
      <c r="F58">
        <f>ROUND(F56*$B$29,0)</f>
        <v/>
      </c>
      <c r="G58">
        <f>ROUND(G56*$B$29,0)</f>
        <v/>
      </c>
      <c r="H58">
        <f>ROUND(H56*$B$29,0)</f>
        <v/>
      </c>
      <c r="I58">
        <f>ROUND(I56*$B$29,0)</f>
        <v/>
      </c>
      <c r="J58">
        <f>ROUND(J56*$B$29,0)</f>
        <v/>
      </c>
      <c r="K58">
        <f>ROUND(K56*$B$29,0)</f>
        <v/>
      </c>
      <c r="L58">
        <f>ROUND(L56*$B$29,0)</f>
        <v/>
      </c>
      <c r="M58">
        <f>ROUND(M56*$B$29,0)</f>
        <v/>
      </c>
      <c r="N58">
        <f>SUM(B58:M58)</f>
        <v/>
      </c>
    </row>
    <row r="59">
      <c r="A59" s="6" t="inlineStr">
        <is>
          <t>Сделок всего</t>
        </is>
      </c>
      <c r="B59" s="6">
        <f>B57+B58</f>
        <v/>
      </c>
      <c r="C59" s="6">
        <f>C57+C58</f>
        <v/>
      </c>
      <c r="D59" s="6">
        <f>D57+D58</f>
        <v/>
      </c>
      <c r="E59" s="6">
        <f>E57+E58</f>
        <v/>
      </c>
      <c r="F59" s="6">
        <f>F57+F58</f>
        <v/>
      </c>
      <c r="G59" s="6">
        <f>G57+G58</f>
        <v/>
      </c>
      <c r="H59" s="6">
        <f>H57+H58</f>
        <v/>
      </c>
      <c r="I59" s="6">
        <f>I57+I58</f>
        <v/>
      </c>
      <c r="J59" s="6">
        <f>J57+J58</f>
        <v/>
      </c>
      <c r="K59" s="6">
        <f>K57+K58</f>
        <v/>
      </c>
      <c r="L59" s="6">
        <f>L57+L58</f>
        <v/>
      </c>
      <c r="M59" s="6">
        <f>M57+M58</f>
        <v/>
      </c>
      <c r="N59" s="6">
        <f>SUM(B59:M59)</f>
        <v/>
      </c>
    </row>
    <row r="60">
      <c r="A60" t="inlineStr">
        <is>
          <t>Сделок с B2C fee</t>
        </is>
      </c>
      <c r="B60">
        <f>B58+ROUND(B57*$B$37,0)</f>
        <v/>
      </c>
      <c r="C60">
        <f>C58+ROUND(C57*$B$37,0)</f>
        <v/>
      </c>
      <c r="D60">
        <f>D58+ROUND(D57*$B$37,0)</f>
        <v/>
      </c>
      <c r="E60">
        <f>E58+ROUND(E57*$B$37,0)</f>
        <v/>
      </c>
      <c r="F60">
        <f>F58+ROUND(F57*$B$37,0)</f>
        <v/>
      </c>
      <c r="G60">
        <f>G58+ROUND(G57*$B$37,0)</f>
        <v/>
      </c>
      <c r="H60">
        <f>H58+ROUND(H57*$B$37,0)</f>
        <v/>
      </c>
      <c r="I60">
        <f>I58+ROUND(I57*$B$37,0)</f>
        <v/>
      </c>
      <c r="J60">
        <f>J58+ROUND(J57*$B$37,0)</f>
        <v/>
      </c>
      <c r="K60">
        <f>K58+ROUND(K57*$B$37,0)</f>
        <v/>
      </c>
      <c r="L60">
        <f>L58+ROUND(L57*$B$37,0)</f>
        <v/>
      </c>
      <c r="M60">
        <f>M58+ROUND(M57*$B$37,0)</f>
        <v/>
      </c>
      <c r="N60">
        <f>SUM(B60:M60)</f>
        <v/>
      </c>
    </row>
    <row r="62">
      <c r="A62" s="3" t="inlineStr">
        <is>
          <t>ВЫРУЧКА</t>
        </is>
      </c>
    </row>
    <row r="63">
      <c r="A63" t="inlineStr">
        <is>
          <t>R1+R2: сплит комиссии (аренда/продажа)</t>
        </is>
      </c>
      <c r="B63">
        <f>ROUND(B57*($B$35*$B$33+(1-$B$35)*$B$34),0)</f>
        <v/>
      </c>
      <c r="C63">
        <f>ROUND(C57*($B$35*$B$33+(1-$B$35)*$B$34),0)</f>
        <v/>
      </c>
      <c r="D63">
        <f>ROUND(D57*($B$35*$B$33+(1-$B$35)*$B$34),0)</f>
        <v/>
      </c>
      <c r="E63">
        <f>ROUND(E57*($B$35*$B$33+(1-$B$35)*$B$34),0)</f>
        <v/>
      </c>
      <c r="F63">
        <f>ROUND(F57*($B$35*$B$33+(1-$B$35)*$B$34),0)</f>
        <v/>
      </c>
      <c r="G63">
        <f>ROUND(G57*($B$35*$B$33+(1-$B$35)*$B$34),0)</f>
        <v/>
      </c>
      <c r="H63">
        <f>ROUND(H57*($B$35*$B$33+(1-$B$35)*$B$34),0)</f>
        <v/>
      </c>
      <c r="I63">
        <f>ROUND(I57*($B$35*$B$33+(1-$B$35)*$B$34),0)</f>
        <v/>
      </c>
      <c r="J63">
        <f>ROUND(J57*($B$35*$B$33+(1-$B$35)*$B$34),0)</f>
        <v/>
      </c>
      <c r="K63">
        <f>ROUND(K57*($B$35*$B$33+(1-$B$35)*$B$34),0)</f>
        <v/>
      </c>
      <c r="L63">
        <f>ROUND(L57*($B$35*$B$33+(1-$B$35)*$B$34),0)</f>
        <v/>
      </c>
      <c r="M63">
        <f>ROUND(M57*($B$35*$B$33+(1-$B$35)*$B$34),0)</f>
        <v/>
      </c>
      <c r="N63">
        <f>SUM(B63:M63)</f>
        <v/>
      </c>
    </row>
    <row r="64">
      <c r="A64" t="inlineStr">
        <is>
          <t>R3: B2C fee</t>
        </is>
      </c>
      <c r="B64">
        <f>B60*$B$36</f>
        <v/>
      </c>
      <c r="C64">
        <f>C60*$B$36</f>
        <v/>
      </c>
      <c r="D64">
        <f>D60*$B$36</f>
        <v/>
      </c>
      <c r="E64">
        <f>E60*$B$36</f>
        <v/>
      </c>
      <c r="F64">
        <f>F60*$B$36</f>
        <v/>
      </c>
      <c r="G64">
        <f>G60*$B$36</f>
        <v/>
      </c>
      <c r="H64">
        <f>H60*$B$36</f>
        <v/>
      </c>
      <c r="I64">
        <f>I60*$B$36</f>
        <v/>
      </c>
      <c r="J64">
        <f>J60*$B$36</f>
        <v/>
      </c>
      <c r="K64">
        <f>K60*$B$36</f>
        <v/>
      </c>
      <c r="L64">
        <f>L60*$B$36</f>
        <v/>
      </c>
      <c r="M64">
        <f>M60*$B$36</f>
        <v/>
      </c>
      <c r="N64">
        <f>SUM(B64:M64)</f>
        <v/>
      </c>
    </row>
    <row r="65">
      <c r="A65" t="inlineStr">
        <is>
          <t>R4: upsell</t>
        </is>
      </c>
      <c r="B65">
        <f>B41</f>
        <v/>
      </c>
      <c r="C65">
        <f>C41</f>
        <v/>
      </c>
      <c r="D65">
        <f>D41</f>
        <v/>
      </c>
      <c r="E65">
        <f>E41</f>
        <v/>
      </c>
      <c r="F65">
        <f>F41</f>
        <v/>
      </c>
      <c r="G65">
        <f>G41</f>
        <v/>
      </c>
      <c r="H65">
        <f>H41</f>
        <v/>
      </c>
      <c r="I65">
        <f>I41</f>
        <v/>
      </c>
      <c r="J65">
        <f>J41</f>
        <v/>
      </c>
      <c r="K65">
        <f>K41</f>
        <v/>
      </c>
      <c r="L65">
        <f>L41</f>
        <v/>
      </c>
      <c r="M65">
        <f>M41</f>
        <v/>
      </c>
      <c r="N65">
        <f>SUM(B65:M65)</f>
        <v/>
      </c>
    </row>
    <row r="66">
      <c r="A66" t="inlineStr">
        <is>
          <t>R5: реферал на мебель (Zolak)</t>
        </is>
      </c>
      <c r="B66">
        <f>ROUND(B59*$B$39*$B$40,0)</f>
        <v/>
      </c>
      <c r="C66">
        <f>ROUND(C59*$B$39*$B$40,0)</f>
        <v/>
      </c>
      <c r="D66">
        <f>ROUND(D59*$B$39*$B$40,0)</f>
        <v/>
      </c>
      <c r="E66">
        <f>ROUND(E59*$B$39*$B$40,0)</f>
        <v/>
      </c>
      <c r="F66">
        <f>ROUND(F59*$B$39*$B$40,0)</f>
        <v/>
      </c>
      <c r="G66">
        <f>ROUND(G59*$B$39*$B$40,0)</f>
        <v/>
      </c>
      <c r="H66">
        <f>ROUND(H59*$B$39*$B$40,0)</f>
        <v/>
      </c>
      <c r="I66">
        <f>ROUND(I59*$B$39*$B$40,0)</f>
        <v/>
      </c>
      <c r="J66">
        <f>ROUND(J59*$B$39*$B$40,0)</f>
        <v/>
      </c>
      <c r="K66">
        <f>ROUND(K59*$B$39*$B$40,0)</f>
        <v/>
      </c>
      <c r="L66">
        <f>ROUND(L59*$B$39*$B$40,0)</f>
        <v/>
      </c>
      <c r="M66">
        <f>ROUND(M59*$B$39*$B$40,0)</f>
        <v/>
      </c>
      <c r="N66">
        <f>SUM(B66:M66)</f>
        <v/>
      </c>
    </row>
    <row r="67">
      <c r="A67" s="6" t="inlineStr">
        <is>
          <t>TOTAL REVENUE</t>
        </is>
      </c>
      <c r="B67" s="6">
        <f>B63+B64+B65+B66</f>
        <v/>
      </c>
      <c r="C67" s="6">
        <f>C63+C64+C65+C66</f>
        <v/>
      </c>
      <c r="D67" s="6">
        <f>D63+D64+D65+D66</f>
        <v/>
      </c>
      <c r="E67" s="6">
        <f>E63+E64+E65+E66</f>
        <v/>
      </c>
      <c r="F67" s="6">
        <f>F63+F64+F65+F66</f>
        <v/>
      </c>
      <c r="G67" s="6">
        <f>G63+G64+G65+G66</f>
        <v/>
      </c>
      <c r="H67" s="6">
        <f>H63+H64+H65+H66</f>
        <v/>
      </c>
      <c r="I67" s="6">
        <f>I63+I64+I65+I66</f>
        <v/>
      </c>
      <c r="J67" s="6">
        <f>J63+J64+J65+J66</f>
        <v/>
      </c>
      <c r="K67" s="6">
        <f>K63+K64+K65+K66</f>
        <v/>
      </c>
      <c r="L67" s="6">
        <f>L63+L64+L65+L66</f>
        <v/>
      </c>
      <c r="M67" s="6">
        <f>M63+M64+M65+M66</f>
        <v/>
      </c>
      <c r="N67" s="6">
        <f>SUM(B67:M67)</f>
        <v/>
      </c>
    </row>
    <row r="69">
      <c r="A69" s="3" t="inlineStr">
        <is>
          <t>РАСХОДЫ</t>
        </is>
      </c>
    </row>
    <row r="70">
      <c r="A70" t="inlineStr">
        <is>
          <t>Маркетинг: paid</t>
        </is>
      </c>
      <c r="B70">
        <f>B6</f>
        <v/>
      </c>
      <c r="C70">
        <f>C6</f>
        <v/>
      </c>
      <c r="D70">
        <f>D6</f>
        <v/>
      </c>
      <c r="E70">
        <f>E6</f>
        <v/>
      </c>
      <c r="F70">
        <f>F6</f>
        <v/>
      </c>
      <c r="G70">
        <f>G6</f>
        <v/>
      </c>
      <c r="H70">
        <f>H6</f>
        <v/>
      </c>
      <c r="I70">
        <f>I6</f>
        <v/>
      </c>
      <c r="J70">
        <f>J6</f>
        <v/>
      </c>
      <c r="K70">
        <f>K6</f>
        <v/>
      </c>
      <c r="L70">
        <f>L6</f>
        <v/>
      </c>
      <c r="M70">
        <f>M6</f>
        <v/>
      </c>
      <c r="N70">
        <f>SUM(B70:M70)</f>
        <v/>
      </c>
    </row>
    <row r="71">
      <c r="A71" t="inlineStr">
        <is>
          <t>Контент / SEO</t>
        </is>
      </c>
      <c r="B71" s="8" t="n">
        <v>500</v>
      </c>
      <c r="C71" s="8" t="n">
        <v>500</v>
      </c>
      <c r="D71" s="8" t="n">
        <v>500</v>
      </c>
      <c r="E71" s="8" t="n">
        <v>500</v>
      </c>
      <c r="F71" s="8" t="n">
        <v>500</v>
      </c>
      <c r="G71" s="8" t="n">
        <v>500</v>
      </c>
      <c r="H71" s="8" t="n">
        <v>500</v>
      </c>
      <c r="I71" s="8" t="n">
        <v>500</v>
      </c>
      <c r="J71" s="8" t="n">
        <v>500</v>
      </c>
      <c r="K71" s="8" t="n">
        <v>500</v>
      </c>
      <c r="L71" s="8" t="n">
        <v>500</v>
      </c>
      <c r="M71" s="8" t="n">
        <v>500</v>
      </c>
      <c r="N71">
        <f>SUM(B71:M71)</f>
        <v/>
      </c>
    </row>
    <row r="72">
      <c r="A72" t="inlineStr">
        <is>
          <t>Продажник (BD): базовая ЗП, DE-speaking</t>
        </is>
      </c>
      <c r="B72" s="8" t="n">
        <v>1000</v>
      </c>
      <c r="C72" s="8" t="n">
        <v>1073</v>
      </c>
      <c r="D72" s="8" t="n">
        <v>1145</v>
      </c>
      <c r="E72" s="8" t="n">
        <v>1218</v>
      </c>
      <c r="F72" s="8" t="n">
        <v>1291</v>
      </c>
      <c r="G72" s="8" t="n">
        <v>1364</v>
      </c>
      <c r="H72" s="8" t="n">
        <v>1436</v>
      </c>
      <c r="I72" s="8" t="n">
        <v>1509</v>
      </c>
      <c r="J72" s="8" t="n">
        <v>1582</v>
      </c>
      <c r="K72" s="8" t="n">
        <v>1655</v>
      </c>
      <c r="L72" s="8" t="n">
        <v>1727</v>
      </c>
      <c r="M72" s="8" t="n">
        <v>1800</v>
      </c>
      <c r="N72">
        <f>SUM(B72:M72)</f>
        <v/>
      </c>
    </row>
    <row r="73">
      <c r="A73" t="inlineStr">
        <is>
          <t>Команда: dev / support (контракторы)</t>
        </is>
      </c>
      <c r="B73" s="8" t="n">
        <v>3000</v>
      </c>
      <c r="C73" s="8" t="n">
        <v>3000</v>
      </c>
      <c r="D73" s="8" t="n">
        <v>3000</v>
      </c>
      <c r="E73" s="8" t="n">
        <v>3500</v>
      </c>
      <c r="F73" s="8" t="n">
        <v>3500</v>
      </c>
      <c r="G73" s="8" t="n">
        <v>3500</v>
      </c>
      <c r="H73" s="8" t="n">
        <v>4000</v>
      </c>
      <c r="I73" s="8" t="n">
        <v>4000</v>
      </c>
      <c r="J73" s="8" t="n">
        <v>4000</v>
      </c>
      <c r="K73" s="8" t="n">
        <v>4500</v>
      </c>
      <c r="L73" s="8" t="n">
        <v>4500</v>
      </c>
      <c r="M73" s="8" t="n">
        <v>4500</v>
      </c>
      <c r="N73">
        <f>SUM(B73:M73)</f>
        <v/>
      </c>
    </row>
    <row r="74">
      <c r="A74" t="inlineStr">
        <is>
          <t>Инфраструктура + AI API</t>
        </is>
      </c>
      <c r="B74" s="8" t="n">
        <v>700</v>
      </c>
      <c r="C74" s="8" t="n">
        <v>750</v>
      </c>
      <c r="D74" s="8" t="n">
        <v>800</v>
      </c>
      <c r="E74" s="8" t="n">
        <v>850</v>
      </c>
      <c r="F74" s="8" t="n">
        <v>900</v>
      </c>
      <c r="G74" s="8" t="n">
        <v>950</v>
      </c>
      <c r="H74" s="8" t="n">
        <v>1000</v>
      </c>
      <c r="I74" s="8" t="n">
        <v>1050</v>
      </c>
      <c r="J74" s="8" t="n">
        <v>1100</v>
      </c>
      <c r="K74" s="8" t="n">
        <v>1150</v>
      </c>
      <c r="L74" s="8" t="n">
        <v>1200</v>
      </c>
      <c r="M74" s="8" t="n">
        <v>1250</v>
      </c>
      <c r="N74">
        <f>SUM(B74:M74)</f>
        <v/>
      </c>
    </row>
    <row r="75">
      <c r="A75" t="inlineStr">
        <is>
          <t>Tools, legal, прочее</t>
        </is>
      </c>
      <c r="B75" s="8" t="n">
        <v>500</v>
      </c>
      <c r="C75" s="8" t="n">
        <v>500</v>
      </c>
      <c r="D75" s="8" t="n">
        <v>500</v>
      </c>
      <c r="E75" s="8" t="n">
        <v>600</v>
      </c>
      <c r="F75" s="8" t="n">
        <v>600</v>
      </c>
      <c r="G75" s="8" t="n">
        <v>600</v>
      </c>
      <c r="H75" s="8" t="n">
        <v>700</v>
      </c>
      <c r="I75" s="8" t="n">
        <v>700</v>
      </c>
      <c r="J75" s="8" t="n">
        <v>700</v>
      </c>
      <c r="K75" s="8" t="n">
        <v>800</v>
      </c>
      <c r="L75" s="8" t="n">
        <v>800</v>
      </c>
      <c r="M75" s="8" t="n">
        <v>800</v>
      </c>
      <c r="N75">
        <f>SUM(B75:M75)</f>
        <v/>
      </c>
    </row>
    <row r="76">
      <c r="A76" t="inlineStr">
        <is>
          <t>Продажник: комиссия (% от R1+R2)</t>
        </is>
      </c>
      <c r="B76">
        <f>ROUND(B63*$B$38,0)</f>
        <v/>
      </c>
      <c r="C76">
        <f>ROUND(C63*$B$38,0)</f>
        <v/>
      </c>
      <c r="D76">
        <f>ROUND(D63*$B$38,0)</f>
        <v/>
      </c>
      <c r="E76">
        <f>ROUND(E63*$B$38,0)</f>
        <v/>
      </c>
      <c r="F76">
        <f>ROUND(F63*$B$38,0)</f>
        <v/>
      </c>
      <c r="G76">
        <f>ROUND(G63*$B$38,0)</f>
        <v/>
      </c>
      <c r="H76">
        <f>ROUND(H63*$B$38,0)</f>
        <v/>
      </c>
      <c r="I76">
        <f>ROUND(I63*$B$38,0)</f>
        <v/>
      </c>
      <c r="J76">
        <f>ROUND(J63*$B$38,0)</f>
        <v/>
      </c>
      <c r="K76">
        <f>ROUND(K63*$B$38,0)</f>
        <v/>
      </c>
      <c r="L76">
        <f>ROUND(L63*$B$38,0)</f>
        <v/>
      </c>
      <c r="M76">
        <f>ROUND(M63*$B$38,0)</f>
        <v/>
      </c>
      <c r="N76">
        <f>SUM(B76:M76)</f>
        <v/>
      </c>
    </row>
    <row r="77">
      <c r="A77" s="6" t="inlineStr">
        <is>
          <t>TOTAL COSTS</t>
        </is>
      </c>
      <c r="B77" s="6">
        <f>B70+B71+B72+B73+B74+B75+B76</f>
        <v/>
      </c>
      <c r="C77" s="6">
        <f>C70+C71+C72+C73+C74+C75+C76</f>
        <v/>
      </c>
      <c r="D77" s="6">
        <f>D70+D71+D72+D73+D74+D75+D76</f>
        <v/>
      </c>
      <c r="E77" s="6">
        <f>E70+E71+E72+E73+E74+E75+E76</f>
        <v/>
      </c>
      <c r="F77" s="6">
        <f>F70+F71+F72+F73+F74+F75+F76</f>
        <v/>
      </c>
      <c r="G77" s="6">
        <f>G70+G71+G72+G73+G74+G75+G76</f>
        <v/>
      </c>
      <c r="H77" s="6">
        <f>H70+H71+H72+H73+H74+H75+H76</f>
        <v/>
      </c>
      <c r="I77" s="6">
        <f>I70+I71+I72+I73+I74+I75+I76</f>
        <v/>
      </c>
      <c r="J77" s="6">
        <f>J70+J71+J72+J73+J74+J75+J76</f>
        <v/>
      </c>
      <c r="K77" s="6">
        <f>K70+K71+K72+K73+K74+K75+K76</f>
        <v/>
      </c>
      <c r="L77" s="6">
        <f>L70+L71+L72+L73+L74+L75+L76</f>
        <v/>
      </c>
      <c r="M77" s="6">
        <f>M70+M71+M72+M73+M74+M75+M76</f>
        <v/>
      </c>
      <c r="N77" s="6">
        <f>SUM(B77:M77)</f>
        <v/>
      </c>
    </row>
    <row r="79">
      <c r="A79" s="6" t="inlineStr">
        <is>
          <t>EBITDA</t>
        </is>
      </c>
      <c r="B79" s="6">
        <f>B67-B77</f>
        <v/>
      </c>
      <c r="C79" s="6">
        <f>C67-C77</f>
        <v/>
      </c>
      <c r="D79" s="6">
        <f>D67-D77</f>
        <v/>
      </c>
      <c r="E79" s="6">
        <f>E67-E77</f>
        <v/>
      </c>
      <c r="F79" s="6">
        <f>F67-F77</f>
        <v/>
      </c>
      <c r="G79" s="6">
        <f>G67-G77</f>
        <v/>
      </c>
      <c r="H79" s="6">
        <f>H67-H77</f>
        <v/>
      </c>
      <c r="I79" s="6">
        <f>I67-I77</f>
        <v/>
      </c>
      <c r="J79" s="6">
        <f>J67-J77</f>
        <v/>
      </c>
      <c r="K79" s="6">
        <f>K67-K77</f>
        <v/>
      </c>
      <c r="L79" s="6">
        <f>L67-L77</f>
        <v/>
      </c>
      <c r="M79" s="6">
        <f>M67-M77</f>
        <v/>
      </c>
      <c r="N79" s="6">
        <f>SUM(B79:M79)</f>
        <v/>
      </c>
    </row>
    <row r="80">
      <c r="A80" t="inlineStr">
        <is>
          <t>Кэш (старт €18,000)</t>
        </is>
      </c>
      <c r="B80">
        <f>18000+B79</f>
        <v/>
      </c>
      <c r="C80">
        <f>B80+C79</f>
        <v/>
      </c>
      <c r="D80">
        <f>C80+D79</f>
        <v/>
      </c>
      <c r="E80">
        <f>D80+E79</f>
        <v/>
      </c>
      <c r="F80">
        <f>E80+F79</f>
        <v/>
      </c>
      <c r="G80">
        <f>F80+G79</f>
        <v/>
      </c>
      <c r="H80">
        <f>G80+H79</f>
        <v/>
      </c>
      <c r="I80">
        <f>H80+I79</f>
        <v/>
      </c>
      <c r="J80">
        <f>I80+J79</f>
        <v/>
      </c>
      <c r="K80">
        <f>J80+K79</f>
        <v/>
      </c>
      <c r="L80">
        <f>K80+L79</f>
        <v/>
      </c>
      <c r="M80">
        <f>L80+M79</f>
        <v/>
      </c>
    </row>
    <row r="82">
      <c r="A82" s="3" t="inlineStr">
        <is>
          <t>ЮНИТ-ЭКОНОМИКА (год)</t>
        </is>
      </c>
    </row>
    <row r="83">
      <c r="A83" t="inlineStr">
        <is>
          <t>CAC на квалифицированного лида, €</t>
        </is>
      </c>
      <c r="B83">
        <f>ROUND(N6/N56,0)</f>
        <v/>
      </c>
    </row>
    <row r="84">
      <c r="A84" t="inlineStr">
        <is>
          <t>CAC на сделку, €</t>
        </is>
      </c>
      <c r="B84">
        <f>ROUND(N6/N59,0)</f>
        <v/>
      </c>
    </row>
    <row r="85">
      <c r="A85" t="inlineStr">
        <is>
          <t>Выручка на агентскую сделку, €</t>
        </is>
      </c>
      <c r="B85">
        <f>ROUND($B$35*$B$33+(1-$B$35)*$B$34,0)</f>
        <v/>
      </c>
    </row>
    <row r="86">
      <c r="A86" t="inlineStr">
        <is>
          <t>LTV / CAC (агентский канал)</t>
        </is>
      </c>
      <c r="B86">
        <f>ROUND(B85/B84,1)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2026-09-08T09:32:33Z</dcterms:created>
  <dcterms:modified xmlns:dcterms="http://purl.org/dc/terms/" xmlns:xsi="http://www.w3.org/2001/XMLSchema-instance" xsi:type="dcterms:W3CDTF">2026-09-08T09:32:33Z</dcterms:modified>
</cp:coreProperties>
</file>