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odel" sheetId="1" state="visible" r:id="rId1"/>
    <sheet xmlns:r="http://schemas.openxmlformats.org/officeDocument/2006/relationships" name="Budget Apr-Aug (USD)" sheetId="2" state="visible" r:id="rId2"/>
    <sheet xmlns:r="http://schemas.openxmlformats.org/officeDocument/2006/relationships" name="BASE - Берлин" sheetId="3" state="visible" r:id="rId3"/>
    <sheet xmlns:r="http://schemas.openxmlformats.org/officeDocument/2006/relationships" name="PESSIMISTIC - Берли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10"/>
    </font>
    <font>
      <color rgb="FF1F4E79"/>
    </font>
  </fonts>
  <fills count="6">
    <fill>
      <patternFill/>
    </fill>
    <fill>
      <patternFill patternType="gray125"/>
    </fill>
    <fill>
      <patternFill patternType="solid">
        <fgColor rgb="FFE8F0E8"/>
      </patternFill>
    </fill>
    <fill>
      <patternFill patternType="solid">
        <fgColor rgb="FFDDE8F0"/>
      </patternFill>
    </fill>
    <fill>
      <patternFill patternType="solid">
        <fgColor rgb="FFD9E8D9"/>
      </patternFill>
    </fill>
    <fill>
      <patternFill patternType="solid">
        <fgColor rgb="FF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book.immo - Business Model v2</t>
        </is>
      </c>
      <c r="B1" s="2" t="inlineStr"/>
    </row>
    <row r="2">
      <c r="A2" t="inlineStr">
        <is>
          <t>GEO</t>
        </is>
      </c>
      <c r="B2" s="2" t="inlineStr">
        <is>
          <t>Берлин - стартовый рынок, затем другие города Германии</t>
        </is>
      </c>
    </row>
    <row r="3">
      <c r="A3" t="inlineStr"/>
      <c r="B3" s="2" t="inlineStr"/>
    </row>
    <row r="4">
      <c r="A4" s="3">
        <f>== ТЕЗИС ===</f>
        <v/>
      </c>
      <c r="B4" s="2" t="inlineStr"/>
    </row>
    <row r="5">
      <c r="A5" t="inlineStr">
        <is>
          <t>Эксклюзивы до агрегаторов</t>
        </is>
      </c>
      <c r="B5" s="2" t="inlineStr">
        <is>
          <t>CRM агентства выгружает на IS24 то, что не ушло по своей базе. Хорошие объекты на витрину не доходят. book.immo получает их из CRM до публикации - бесплатно для агентства, за сплит комиссии при сделке.</t>
        </is>
      </c>
    </row>
    <row r="6">
      <c r="A6" t="inlineStr">
        <is>
          <t>Агентствам нужны хорошие лиды</t>
        </is>
      </c>
      <c r="B6" s="2" t="inlineStr">
        <is>
          <t>Мы монетизируем не трафик, а квалификацию: агентство видит только проверенных кандидатов под конкретный эксклюзив.</t>
        </is>
      </c>
    </row>
    <row r="7">
      <c r="A7" t="inlineStr">
        <is>
          <t>Каталог IS24 / Immowelt</t>
        </is>
      </c>
      <c r="B7" s="2" t="inlineStr">
        <is>
          <t>Парсинг - для полноты каталога и SEO-трафика, не для сделок: там остатки.</t>
        </is>
      </c>
    </row>
    <row r="8">
      <c r="A8" t="inlineStr"/>
      <c r="B8" s="2" t="inlineStr"/>
    </row>
    <row r="9">
      <c r="A9" s="3">
        <f>== КАНАЛЫ ЛИДОВ ===</f>
        <v/>
      </c>
      <c r="B9" s="2" t="inlineStr"/>
    </row>
    <row r="10">
      <c r="A10" t="inlineStr">
        <is>
          <t>Paid search (long-tail + EN)</t>
        </is>
      </c>
      <c r="B10" s="2" t="inlineStr">
        <is>
          <t>[квалификация 35%] Узкие запросы и ретаргетинг. Кран, а не основа.</t>
        </is>
      </c>
    </row>
    <row r="11">
      <c r="A11" t="inlineStr">
        <is>
          <t>Экспат-комьюнити</t>
        </is>
      </c>
      <c r="B11" s="2" t="inlineStr">
        <is>
          <t>[квалификация 22%] FB, r/berlin, Telegram. Дёшево, но часто без немецких доходных справок.</t>
        </is>
      </c>
    </row>
    <row r="12">
      <c r="A12" t="inlineStr">
        <is>
          <t>Relocation-партнёрства (B2B2C)</t>
        </is>
      </c>
      <c r="B12" s="2" t="inlineStr">
        <is>
          <t>[квалификация 100%] HR стартапов, вузы. Приходят с датой въезда и доходом - уже квалифицированы.</t>
        </is>
      </c>
    </row>
    <row r="13">
      <c r="A13" t="inlineStr">
        <is>
          <t>SEO: гео-страницы на базе каталога</t>
        </is>
      </c>
      <c r="B13" s="2" t="inlineStr">
        <is>
          <t>[квалификация 40%] Гео-страницы на данных парсинга - способ найти нас, а не ограничение на сделку: внутри доступны и каталог, и эксклюзивы.</t>
        </is>
      </c>
    </row>
    <row r="14">
      <c r="A14" t="inlineStr">
        <is>
          <t>Реферальная петля</t>
        </is>
      </c>
      <c r="B14" s="2" t="inlineStr">
        <is>
          <t>[квалификация 50%] Заселённый клиент приводит следующего - месяц мониторинга в подарок.</t>
        </is>
      </c>
    </row>
    <row r="15">
      <c r="A15" t="inlineStr">
        <is>
          <t>Агентства как канал</t>
        </is>
      </c>
      <c r="B15" s="2" t="inlineStr">
        <is>
          <t>[квалификация 50%] Эксклюзивы в топе выдачи + агентства шлют свой waiting-list к нам.</t>
        </is>
      </c>
    </row>
    <row r="16">
      <c r="A16" t="inlineStr"/>
      <c r="B16" s="2" t="inlineStr"/>
    </row>
    <row r="17">
      <c r="A17" s="3">
        <f>== ВОРОНКА ===</f>
        <v/>
      </c>
      <c r="B17" s="2" t="inlineStr"/>
    </row>
    <row r="18">
      <c r="A18" t="inlineStr">
        <is>
          <t>1. Регистрация через Bewerbungsmappe</t>
        </is>
      </c>
      <c r="B18" s="2" t="inlineStr">
        <is>
          <t>Бесплатный ИИ-пакет документов: доход, состав семьи, дата въезда вводятся, чтобы его получить - квалификация на входе</t>
        </is>
      </c>
    </row>
    <row r="19">
      <c r="A19" t="inlineStr">
        <is>
          <t>2. ИИ-скрининг + доведение документов</t>
        </is>
      </c>
      <c r="B19" s="2" t="inlineStr">
        <is>
          <t>Schufa-готовность, доход ≥ 3× Kaltmiete. Экспатам без немецких справок - Bürgschaft/гарант, письмо работодателя, Schufa через нас</t>
        </is>
      </c>
    </row>
    <row r="20">
      <c r="A20" t="inlineStr">
        <is>
          <t>3. Автозаявки за 5 минут</t>
        </is>
      </c>
      <c r="B20" s="2" t="inlineStr">
        <is>
          <t>Монитор + полный пакет → подача сразу после публикации. На эксклюзивы агентств - приоритетно, на каталог IS24 - как страховка</t>
        </is>
      </c>
    </row>
    <row r="21">
      <c r="A21" t="inlineStr">
        <is>
          <t>4. Передача агентству</t>
        </is>
      </c>
      <c r="B21" s="2" t="inlineStr">
        <is>
          <t>Только квалифицированные и только под конкретный эксклюзив - агентство не тратит время на шум</t>
        </is>
      </c>
    </row>
    <row r="22">
      <c r="A22" t="inlineStr">
        <is>
          <t>5. Сделка</t>
        </is>
      </c>
      <c r="B22" s="2" t="inlineStr">
        <is>
          <t>Подписание через агентство (сплит комиссии). Закрытия на остатках IS24 - редкие, только B2C fee</t>
        </is>
      </c>
    </row>
    <row r="23">
      <c r="A23" t="inlineStr"/>
      <c r="B23" s="2" t="inlineStr"/>
    </row>
    <row r="24">
      <c r="A24" s="3">
        <f>== LEGAL ===</f>
        <v/>
      </c>
      <c r="B24" s="2" t="inlineStr"/>
    </row>
    <row r="25">
      <c r="A25" t="inlineStr">
        <is>
          <t>Wohnungsvermittlungsgesetz</t>
        </is>
      </c>
      <c r="B25" s="2" t="inlineStr">
        <is>
          <t>Нельзя брать с арендатора комиссию за посредничество. B2C fee - плата за софт (автозаявки, мониторинг, документы). Нужен письменный legal opinion до запуска.</t>
        </is>
      </c>
    </row>
    <row r="26">
      <c r="A26" t="inlineStr">
        <is>
          <t>Bestellerprinzip</t>
        </is>
      </c>
      <c r="B26" s="2" t="inlineStr">
        <is>
          <t>Комиссию платит собственник маклеру. Сплит book.immo - из B2B-агентского договора. Легально.</t>
        </is>
      </c>
    </row>
    <row r="27">
      <c r="A27" t="inlineStr">
        <is>
          <t>GDPR</t>
        </is>
      </c>
      <c r="B27" s="2" t="inlineStr">
        <is>
          <t>DPA с каждым агентством; consent клиента на передачу заявки.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book.immo - Pre-Launch Budget (Apr–Aug 2026, USD)</t>
        </is>
      </c>
    </row>
    <row r="2">
      <c r="A2" s="4" t="inlineStr">
        <is>
          <t>Инвестиция $50,000: $30,000 на запуск, $20,000 резерв.</t>
        </is>
      </c>
    </row>
    <row r="4">
      <c r="A4" s="5" t="inlineStr">
        <is>
          <t>Category</t>
        </is>
      </c>
      <c r="B4" s="5" t="inlineStr">
        <is>
          <t>Apr</t>
        </is>
      </c>
      <c r="C4" s="5" t="inlineStr">
        <is>
          <t>May</t>
        </is>
      </c>
      <c r="D4" s="5" t="inlineStr">
        <is>
          <t>Jun</t>
        </is>
      </c>
      <c r="E4" s="5" t="inlineStr">
        <is>
          <t>Jul</t>
        </is>
      </c>
      <c r="F4" s="5" t="inlineStr">
        <is>
          <t>Aug</t>
        </is>
      </c>
      <c r="G4" s="5" t="inlineStr">
        <is>
          <t>TOTAL</t>
        </is>
      </c>
    </row>
    <row r="5">
      <c r="A5" t="inlineStr">
        <is>
          <t>Разработка (фронт / бэк / парсер)</t>
        </is>
      </c>
      <c r="B5" t="n">
        <v>2800</v>
      </c>
      <c r="C5" t="n">
        <v>2800</v>
      </c>
      <c r="D5" t="n">
        <v>2800</v>
      </c>
      <c r="E5" t="n">
        <v>2800</v>
      </c>
      <c r="F5" t="n">
        <v>2800</v>
      </c>
      <c r="G5">
        <f>SUM(B5:F5)</f>
        <v/>
      </c>
    </row>
    <row r="6">
      <c r="A6" t="inlineStr">
        <is>
          <t>AI / LLM API (автоматизация, письма)</t>
        </is>
      </c>
      <c r="B6" t="n">
        <v>200</v>
      </c>
      <c r="C6" t="n">
        <v>250</v>
      </c>
      <c r="D6" t="n">
        <v>300</v>
      </c>
      <c r="E6" t="n">
        <v>350</v>
      </c>
      <c r="F6" t="n">
        <v>400</v>
      </c>
      <c r="G6">
        <f>SUM(B6:F6)</f>
        <v/>
      </c>
    </row>
    <row r="7">
      <c r="A7" t="inlineStr">
        <is>
          <t>Дизайн / UX (Framer, ассеты, брендинг)</t>
        </is>
      </c>
      <c r="B7" t="n">
        <v>800</v>
      </c>
      <c r="C7" t="n">
        <v>700</v>
      </c>
      <c r="D7" t="n">
        <v>500</v>
      </c>
      <c r="E7" t="n">
        <v>300</v>
      </c>
      <c r="F7" t="n">
        <v>200</v>
      </c>
      <c r="G7">
        <f>SUM(B7:F7)</f>
        <v/>
      </c>
    </row>
    <row r="8">
      <c r="A8" t="inlineStr">
        <is>
          <t>Инфраструктура (Vercel, серверы, CMS, Mapbox, Resend)</t>
        </is>
      </c>
      <c r="B8" t="n">
        <v>350</v>
      </c>
      <c r="C8" t="n">
        <v>380</v>
      </c>
      <c r="D8" t="n">
        <v>400</v>
      </c>
      <c r="E8" t="n">
        <v>420</v>
      </c>
      <c r="F8" t="n">
        <v>450</v>
      </c>
      <c r="G8">
        <f>SUM(B8:F8)</f>
        <v/>
      </c>
    </row>
    <row r="9">
      <c r="A9" t="inlineStr">
        <is>
          <t>Data-инфраструктура (прокси, Chrome-ферма, capsolver)</t>
        </is>
      </c>
      <c r="B9" t="n">
        <v>250</v>
      </c>
      <c r="C9" t="n">
        <v>280</v>
      </c>
      <c r="D9" t="n">
        <v>300</v>
      </c>
      <c r="E9" t="n">
        <v>320</v>
      </c>
      <c r="F9" t="n">
        <v>350</v>
      </c>
      <c r="G9">
        <f>SUM(B9:F9)</f>
        <v/>
      </c>
    </row>
    <row r="10">
      <c r="A10" t="inlineStr">
        <is>
          <t>Tools &amp; Software</t>
        </is>
      </c>
      <c r="B10" t="n">
        <v>200</v>
      </c>
      <c r="C10" t="n">
        <v>200</v>
      </c>
      <c r="D10" t="n">
        <v>200</v>
      </c>
      <c r="E10" t="n">
        <v>200</v>
      </c>
      <c r="F10" t="n">
        <v>200</v>
      </c>
      <c r="G10">
        <f>SUM(B10:F10)</f>
        <v/>
      </c>
    </row>
    <row r="11">
      <c r="A11" t="inlineStr">
        <is>
          <t>Legal и юрлицо (договоры, DPA-шаблоны)</t>
        </is>
      </c>
      <c r="B11" t="n">
        <v>1200</v>
      </c>
      <c r="C11" t="n">
        <v>400</v>
      </c>
      <c r="D11" t="n">
        <v>300</v>
      </c>
      <c r="E11" t="n">
        <v>300</v>
      </c>
      <c r="F11" t="n">
        <v>300</v>
      </c>
      <c r="G11">
        <f>SUM(B11:F11)</f>
        <v/>
      </c>
    </row>
    <row r="12">
      <c r="A12" t="inlineStr">
        <is>
          <t>Домен и товарный знак (book.immo, TM)</t>
        </is>
      </c>
      <c r="B12" t="n">
        <v>900</v>
      </c>
      <c r="C12" t="n">
        <v>0</v>
      </c>
      <c r="D12" t="n">
        <v>0</v>
      </c>
      <c r="E12" t="n">
        <v>100</v>
      </c>
      <c r="F12" t="n">
        <v>0</v>
      </c>
      <c r="G12">
        <f>SUM(B12:F12)</f>
        <v/>
      </c>
    </row>
    <row r="13">
      <c r="A13" t="inlineStr">
        <is>
          <t>Pre-launch маркетинг (лендинг-тесты, SEO)</t>
        </is>
      </c>
      <c r="B13" t="n">
        <v>100</v>
      </c>
      <c r="C13" t="n">
        <v>200</v>
      </c>
      <c r="D13" t="n">
        <v>400</v>
      </c>
      <c r="E13" t="n">
        <v>600</v>
      </c>
      <c r="F13" t="n">
        <v>700</v>
      </c>
      <c r="G13">
        <f>SUM(B13:F13)</f>
        <v/>
      </c>
    </row>
    <row r="14">
      <c r="A14" t="inlineStr">
        <is>
          <t>Прочее / буфер</t>
        </is>
      </c>
      <c r="B14" t="n">
        <v>200</v>
      </c>
      <c r="C14" t="n">
        <v>290</v>
      </c>
      <c r="D14" t="n">
        <v>300</v>
      </c>
      <c r="E14" t="n">
        <v>310</v>
      </c>
      <c r="F14" t="n">
        <v>320</v>
      </c>
      <c r="G14">
        <f>SUM(B14:F14)</f>
        <v/>
      </c>
    </row>
    <row r="15">
      <c r="A15" s="6" t="inlineStr">
        <is>
          <t>TOTAL</t>
        </is>
      </c>
      <c r="B15" s="6">
        <f>SUM(B5:B14)</f>
        <v/>
      </c>
      <c r="C15" s="6">
        <f>SUM(C5:C14)</f>
        <v/>
      </c>
      <c r="D15" s="6">
        <f>SUM(D5:D14)</f>
        <v/>
      </c>
      <c r="E15" s="6">
        <f>SUM(E5:E14)</f>
        <v/>
      </c>
      <c r="F15" s="6">
        <f>SUM(F5:F14)</f>
        <v/>
      </c>
      <c r="G15" s="6">
        <f>SUM(G5:G14)</f>
        <v/>
      </c>
    </row>
    <row r="17">
      <c r="A17" s="7" t="inlineStr">
        <is>
          <t>Что построено:</t>
        </is>
      </c>
    </row>
    <row r="18">
      <c r="A18" t="inlineStr">
        <is>
          <t>• Сайт book.immo (React SPA, 5 языков, SEO-prerender, поиск по гео)</t>
        </is>
      </c>
    </row>
    <row r="19">
      <c r="A19" t="inlineStr">
        <is>
          <t>• Собственный бэкенд: PostgreSQL + API (auth, избранное, заявки) - без vendor lock-in</t>
        </is>
      </c>
    </row>
    <row r="20">
      <c r="A20" t="inlineStr">
        <is>
          <t>• Парсер ImmoScout24/Immowelt + ИИ-контакт-автоматизация (Chrome-extension pipeline)</t>
        </is>
      </c>
    </row>
    <row r="21">
      <c r="A21" t="inlineStr">
        <is>
          <t>• CMS (Directus) + email-инфраструктура (Resend) + Telegram-интеграция</t>
        </is>
      </c>
    </row>
    <row r="22">
      <c r="A22" t="inlineStr">
        <is>
          <t>• ИИ-автоподбор и автозаявки (MVP)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book.immo - BASE, Берлин, запуск Sep 2026 (EUR)</t>
        </is>
      </c>
    </row>
    <row r="2">
      <c r="A2" s="4" t="inlineStr">
        <is>
          <t>Жёлтые ячейки - входные драйверы (можно менять). Остальное считается формулами.</t>
        </is>
      </c>
    </row>
    <row r="4">
      <c r="A4" s="5" t="inlineStr"/>
      <c r="B4" s="5" t="inlineStr">
        <is>
          <t>Sep</t>
        </is>
      </c>
      <c r="C4" s="5" t="inlineStr">
        <is>
          <t>Oct</t>
        </is>
      </c>
      <c r="D4" s="5" t="inlineStr">
        <is>
          <t>Nov</t>
        </is>
      </c>
      <c r="E4" s="5" t="inlineStr">
        <is>
          <t>Dec</t>
        </is>
      </c>
      <c r="F4" s="5" t="inlineStr">
        <is>
          <t>Jan</t>
        </is>
      </c>
      <c r="G4" s="5" t="inlineStr">
        <is>
          <t>Feb</t>
        </is>
      </c>
      <c r="H4" s="5" t="inlineStr">
        <is>
          <t>Mar</t>
        </is>
      </c>
      <c r="I4" s="5" t="inlineStr">
        <is>
          <t>Apr</t>
        </is>
      </c>
      <c r="J4" s="5" t="inlineStr">
        <is>
          <t>May</t>
        </is>
      </c>
      <c r="K4" s="5" t="inlineStr">
        <is>
          <t>Jun</t>
        </is>
      </c>
      <c r="L4" s="5" t="inlineStr">
        <is>
          <t>Jul</t>
        </is>
      </c>
      <c r="M4" s="5" t="inlineStr">
        <is>
          <t>Aug</t>
        </is>
      </c>
      <c r="N4" s="5" t="inlineStr">
        <is>
          <t>YEAR</t>
        </is>
      </c>
    </row>
    <row r="5">
      <c r="A5" s="3" t="inlineStr">
        <is>
          <t>ДРАЙВЕРЫ - каналы (входные)</t>
        </is>
      </c>
    </row>
    <row r="6">
      <c r="A6" t="inlineStr">
        <is>
          <t>Paid: бюджет, €/мес</t>
        </is>
      </c>
      <c r="B6" s="8" t="n">
        <v>2000</v>
      </c>
      <c r="C6" s="8" t="n">
        <v>2200</v>
      </c>
      <c r="D6" s="8" t="n">
        <v>2500</v>
      </c>
      <c r="E6" s="8" t="n">
        <v>2500</v>
      </c>
      <c r="F6" s="8" t="n">
        <v>3000</v>
      </c>
      <c r="G6" s="8" t="n">
        <v>3000</v>
      </c>
      <c r="H6" s="8" t="n">
        <v>3500</v>
      </c>
      <c r="I6" s="8" t="n">
        <v>3500</v>
      </c>
      <c r="J6" s="8" t="n">
        <v>4000</v>
      </c>
      <c r="K6" s="8" t="n">
        <v>4000</v>
      </c>
      <c r="L6" s="8" t="n">
        <v>4500</v>
      </c>
      <c r="M6" s="8" t="n">
        <v>4500</v>
      </c>
      <c r="N6">
        <f>SUM(B6:M6)</f>
        <v/>
      </c>
    </row>
    <row r="7">
      <c r="A7" t="inlineStr">
        <is>
          <t>Paid: CPC, €</t>
        </is>
      </c>
      <c r="B7" s="8" t="n">
        <v>1.8</v>
      </c>
    </row>
    <row r="8">
      <c r="A8" t="inlineStr">
        <is>
          <t>Paid: визит → регистрация</t>
        </is>
      </c>
      <c r="B8" s="8" t="n">
        <v>0.03</v>
      </c>
    </row>
    <row r="9">
      <c r="A9" t="inlineStr">
        <is>
          <t>Комьюнити: регистраций/мес</t>
        </is>
      </c>
      <c r="B9" s="8" t="n">
        <v>120</v>
      </c>
      <c r="C9" s="8" t="n">
        <v>200</v>
      </c>
      <c r="D9" s="8" t="n">
        <v>300</v>
      </c>
      <c r="E9" s="8" t="n">
        <v>400</v>
      </c>
      <c r="F9" s="8" t="n">
        <v>480</v>
      </c>
      <c r="G9" s="8" t="n">
        <v>560</v>
      </c>
      <c r="H9" s="8" t="n">
        <v>620</v>
      </c>
      <c r="I9" s="8" t="n">
        <v>680</v>
      </c>
      <c r="J9" s="8" t="n">
        <v>740</v>
      </c>
      <c r="K9" s="8" t="n">
        <v>800</v>
      </c>
      <c r="L9" s="8" t="n">
        <v>850</v>
      </c>
      <c r="M9" s="8" t="n">
        <v>900</v>
      </c>
      <c r="N9">
        <f>SUM(B9:M9)</f>
        <v/>
      </c>
    </row>
    <row r="10">
      <c r="A10" t="inlineStr">
        <is>
          <t>Партнёры (HR / вузы), шт.</t>
        </is>
      </c>
      <c r="B10" s="8" t="n">
        <v>0</v>
      </c>
      <c r="C10" s="8" t="n">
        <v>0</v>
      </c>
      <c r="D10" s="8" t="n">
        <v>1</v>
      </c>
      <c r="E10" s="8" t="n">
        <v>1</v>
      </c>
      <c r="F10" s="8" t="n">
        <v>2</v>
      </c>
      <c r="G10" s="8" t="n">
        <v>2</v>
      </c>
      <c r="H10" s="8" t="n">
        <v>3</v>
      </c>
      <c r="I10" s="8" t="n">
        <v>3</v>
      </c>
      <c r="J10" s="8" t="n">
        <v>4</v>
      </c>
      <c r="K10" s="8" t="n">
        <v>4</v>
      </c>
      <c r="L10" s="8" t="n">
        <v>5</v>
      </c>
      <c r="M10" s="8" t="n">
        <v>5</v>
      </c>
    </row>
    <row r="11">
      <c r="A11" t="inlineStr">
        <is>
          <t>Лидов на партнёра / мес</t>
        </is>
      </c>
      <c r="B11" s="8" t="n">
        <v>15</v>
      </c>
    </row>
    <row r="12">
      <c r="A12" t="inlineStr">
        <is>
          <t>SEO: визитов/мес</t>
        </is>
      </c>
      <c r="B12" s="8" t="n">
        <v>800</v>
      </c>
      <c r="C12" s="8" t="n">
        <v>1000</v>
      </c>
      <c r="D12" s="8" t="n">
        <v>1300</v>
      </c>
      <c r="E12" s="8" t="n">
        <v>1700</v>
      </c>
      <c r="F12" s="8" t="n">
        <v>2200</v>
      </c>
      <c r="G12" s="8" t="n">
        <v>2800</v>
      </c>
      <c r="H12" s="8" t="n">
        <v>3400</v>
      </c>
      <c r="I12" s="8" t="n">
        <v>4000</v>
      </c>
      <c r="J12" s="8" t="n">
        <v>4600</v>
      </c>
      <c r="K12" s="8" t="n">
        <v>5200</v>
      </c>
      <c r="L12" s="8" t="n">
        <v>5800</v>
      </c>
      <c r="M12" s="8" t="n">
        <v>6400</v>
      </c>
      <c r="N12">
        <f>SUM(B12:M12)</f>
        <v/>
      </c>
    </row>
    <row r="13">
      <c r="A13" t="inlineStr">
        <is>
          <t>SEO: визит → регистрация</t>
        </is>
      </c>
      <c r="B13" s="8" t="n">
        <v>0.04</v>
      </c>
    </row>
    <row r="14">
      <c r="A14" t="inlineStr">
        <is>
          <t>Агентства: холодный BD (накопл.)</t>
        </is>
      </c>
      <c r="B14" s="8" t="n">
        <v>3</v>
      </c>
      <c r="C14" s="8" t="n">
        <v>3</v>
      </c>
      <c r="D14" s="8" t="n">
        <v>4</v>
      </c>
      <c r="E14" s="8" t="n">
        <v>5</v>
      </c>
      <c r="F14" s="8" t="n">
        <v>6</v>
      </c>
      <c r="G14" s="8" t="n">
        <v>7</v>
      </c>
      <c r="H14" s="8" t="n">
        <v>8</v>
      </c>
      <c r="I14" s="8" t="n">
        <v>9</v>
      </c>
      <c r="J14" s="8" t="n">
        <v>10</v>
      </c>
      <c r="K14" s="8" t="n">
        <v>11</v>
      </c>
      <c r="L14" s="8" t="n">
        <v>12</v>
      </c>
      <c r="M14" s="8" t="n">
        <v>13</v>
      </c>
    </row>
    <row r="15">
      <c r="A15" t="inlineStr">
        <is>
          <t>Визитов от агентства / мес</t>
        </is>
      </c>
      <c r="B15" s="8" t="n">
        <v>150</v>
      </c>
    </row>
    <row r="16">
      <c r="A16" t="inlineStr">
        <is>
          <t>Агентства: визит → регистрация</t>
        </is>
      </c>
      <c r="B16" s="8" t="n">
        <v>0.08</v>
      </c>
    </row>
    <row r="17">
      <c r="A17" t="inlineStr">
        <is>
          <t>Referral: лидов на сделку прошлого месяца</t>
        </is>
      </c>
      <c r="B17" s="8" t="n">
        <v>0.2</v>
      </c>
    </row>
    <row r="18">
      <c r="A18" t="inlineStr">
        <is>
          <t>Тёплый вход: доля self-deals -&gt; партнёр-агентство</t>
        </is>
      </c>
      <c r="B18" s="8" t="n">
        <v>0.05</v>
      </c>
    </row>
    <row r="20">
      <c r="A20" s="3" t="inlineStr">
        <is>
          <t>КВАЛИФИКАЦИЯ по каналу (доля регистраций, прошедших скрининг)</t>
        </is>
      </c>
    </row>
    <row r="21">
      <c r="A21" t="inlineStr">
        <is>
          <t xml:space="preserve">  Paid search (long-tail + EN)</t>
        </is>
      </c>
      <c r="B21" s="8" t="n">
        <v>0.35</v>
      </c>
    </row>
    <row r="22">
      <c r="A22" t="inlineStr">
        <is>
          <t xml:space="preserve">  Экспат-комьюнити</t>
        </is>
      </c>
      <c r="B22" s="8" t="n">
        <v>0.22</v>
      </c>
    </row>
    <row r="23">
      <c r="A23" t="inlineStr">
        <is>
          <t xml:space="preserve">  Relocation-партнёрства (B2B2C)</t>
        </is>
      </c>
      <c r="B23" s="8" t="n">
        <v>1</v>
      </c>
    </row>
    <row r="24">
      <c r="A24" t="inlineStr">
        <is>
          <t xml:space="preserve">  SEO: гео-страницы на базе каталога</t>
        </is>
      </c>
      <c r="B24" s="8" t="n">
        <v>0.4</v>
      </c>
    </row>
    <row r="25">
      <c r="A25" t="inlineStr">
        <is>
          <t xml:space="preserve">  Реферальная петля</t>
        </is>
      </c>
      <c r="B25" s="8" t="n">
        <v>0.5</v>
      </c>
    </row>
    <row r="26">
      <c r="A26" t="inlineStr">
        <is>
          <t xml:space="preserve">  Агентства как канал</t>
        </is>
      </c>
      <c r="B26" s="8" t="n">
        <v>0.5</v>
      </c>
    </row>
    <row r="28">
      <c r="A28" s="3" t="inlineStr">
        <is>
          <t>КОНВЕРСИЯ в сделку</t>
        </is>
      </c>
    </row>
    <row r="29">
      <c r="A29" t="inlineStr">
        <is>
          <t>Квалифицированный → сделка через агентство</t>
        </is>
      </c>
      <c r="B29" s="8" t="n">
        <v>0.12</v>
      </c>
    </row>
    <row r="30">
      <c r="A30" t="inlineStr">
        <is>
          <t>Квалифицированный → сделка на каталоге IS24</t>
        </is>
      </c>
      <c r="B30" s="8" t="n">
        <v>0.04</v>
      </c>
    </row>
    <row r="31">
      <c r="A31" t="inlineStr">
        <is>
          <t>Потолок сделок на агентство / мес</t>
        </is>
      </c>
      <c r="B31" s="8" t="n">
        <v>1</v>
      </c>
      <c r="C31" s="8" t="n">
        <v>1</v>
      </c>
      <c r="D31" s="8" t="n">
        <v>1.5</v>
      </c>
      <c r="E31" s="8" t="n">
        <v>1.5</v>
      </c>
      <c r="F31" s="8" t="n">
        <v>2</v>
      </c>
      <c r="G31" s="8" t="n">
        <v>2</v>
      </c>
      <c r="H31" s="8" t="n">
        <v>2.5</v>
      </c>
      <c r="I31" s="8" t="n">
        <v>2.5</v>
      </c>
      <c r="J31" s="8" t="n">
        <v>3</v>
      </c>
      <c r="K31" s="8" t="n">
        <v>3</v>
      </c>
      <c r="L31" s="8" t="n">
        <v>3</v>
      </c>
      <c r="M31" s="8" t="n">
        <v>3</v>
      </c>
    </row>
    <row r="33">
      <c r="A33" s="3" t="inlineStr">
        <is>
          <t>UNIT ECONOMICS</t>
        </is>
      </c>
    </row>
    <row r="34">
      <c r="A34" t="inlineStr">
        <is>
          <t>Сплит аренда, €/сделка</t>
        </is>
      </c>
      <c r="B34" s="8" t="n">
        <v>605</v>
      </c>
    </row>
    <row r="35">
      <c r="A35" t="inlineStr">
        <is>
          <t>Сплит продажа, €/сделка</t>
        </is>
      </c>
      <c r="B35" s="8" t="n">
        <v>2400</v>
      </c>
    </row>
    <row r="36">
      <c r="A36" t="inlineStr">
        <is>
          <t>Доля аренды</t>
        </is>
      </c>
      <c r="B36" s="8" t="n">
        <v>0.85</v>
      </c>
    </row>
    <row r="37">
      <c r="A37" t="inlineStr">
        <is>
          <t>B2C fee, €</t>
        </is>
      </c>
      <c r="B37" s="8" t="n">
        <v>149</v>
      </c>
    </row>
    <row r="38">
      <c r="A38" t="inlineStr">
        <is>
          <t>Доля агентских сделок, платящих B2C fee</t>
        </is>
      </c>
      <c r="B38" s="8" t="n">
        <v>0.5</v>
      </c>
    </row>
    <row r="39">
      <c r="A39" t="inlineStr">
        <is>
          <t>Продажник: % от выручки агентских сделок</t>
        </is>
      </c>
      <c r="B39" s="8" t="n">
        <v>0.08</v>
      </c>
    </row>
    <row r="40">
      <c r="A40" t="inlineStr">
        <is>
          <t>Zolak: средний чек мебели, €</t>
        </is>
      </c>
      <c r="B40" s="8" t="n">
        <v>3000</v>
      </c>
    </row>
    <row r="41">
      <c r="A41" t="inlineStr">
        <is>
          <t>Zolak: наша доля от мебели</t>
        </is>
      </c>
      <c r="B41" s="8" t="n">
        <v>0.015</v>
      </c>
    </row>
    <row r="42">
      <c r="A42" t="inlineStr">
        <is>
          <t>Upsell агентствам, €/мес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300</v>
      </c>
      <c r="J42" s="8" t="n">
        <v>500</v>
      </c>
      <c r="K42" s="8" t="n">
        <v>700</v>
      </c>
      <c r="L42" s="8" t="n">
        <v>900</v>
      </c>
      <c r="M42" s="8" t="n">
        <v>1100</v>
      </c>
      <c r="N42">
        <f>SUM(B42:M42)</f>
        <v/>
      </c>
    </row>
    <row r="44">
      <c r="A44" s="3" t="inlineStr">
        <is>
          <t>ВОРОНКА</t>
        </is>
      </c>
    </row>
    <row r="45">
      <c r="A45" t="inlineStr">
        <is>
          <t>Тёплые агентства (накопл., от прошлых self-deals)</t>
        </is>
      </c>
      <c r="B45" t="n">
        <v>0</v>
      </c>
      <c r="C45">
        <f>B45+ROUND(B61*$B$18,0)</f>
        <v/>
      </c>
      <c r="D45">
        <f>C45+ROUND(C61*$B$18,0)</f>
        <v/>
      </c>
      <c r="E45">
        <f>D45+ROUND(D61*$B$18,0)</f>
        <v/>
      </c>
      <c r="F45">
        <f>E45+ROUND(E61*$B$18,0)</f>
        <v/>
      </c>
      <c r="G45">
        <f>F45+ROUND(F61*$B$18,0)</f>
        <v/>
      </c>
      <c r="H45">
        <f>G45+ROUND(G61*$B$18,0)</f>
        <v/>
      </c>
      <c r="I45">
        <f>H45+ROUND(H61*$B$18,0)</f>
        <v/>
      </c>
      <c r="J45">
        <f>I45+ROUND(I61*$B$18,0)</f>
        <v/>
      </c>
      <c r="K45">
        <f>J45+ROUND(J61*$B$18,0)</f>
        <v/>
      </c>
      <c r="L45">
        <f>K45+ROUND(K61*$B$18,0)</f>
        <v/>
      </c>
      <c r="M45">
        <f>L45+ROUND(L61*$B$18,0)</f>
        <v/>
      </c>
    </row>
    <row r="46">
      <c r="A46" t="inlineStr">
        <is>
          <t>Эффективные агентства (холодные + тёплые)</t>
        </is>
      </c>
      <c r="B46">
        <f>B14+B45</f>
        <v/>
      </c>
      <c r="C46">
        <f>C14+C45</f>
        <v/>
      </c>
      <c r="D46">
        <f>D14+D45</f>
        <v/>
      </c>
      <c r="E46">
        <f>E14+E45</f>
        <v/>
      </c>
      <c r="F46">
        <f>F14+F45</f>
        <v/>
      </c>
      <c r="G46">
        <f>G14+G45</f>
        <v/>
      </c>
      <c r="H46">
        <f>H14+H45</f>
        <v/>
      </c>
      <c r="I46">
        <f>I14+I45</f>
        <v/>
      </c>
      <c r="J46">
        <f>J14+J45</f>
        <v/>
      </c>
      <c r="K46">
        <f>K14+K45</f>
        <v/>
      </c>
      <c r="L46">
        <f>L14+L45</f>
        <v/>
      </c>
      <c r="M46">
        <f>M14+M45</f>
        <v/>
      </c>
    </row>
    <row r="47">
      <c r="A47" t="inlineStr">
        <is>
          <t>Регистрации: paid</t>
        </is>
      </c>
      <c r="B47">
        <f>B6/$B$7*$B$8</f>
        <v/>
      </c>
      <c r="C47">
        <f>C6/$B$7*$B$8</f>
        <v/>
      </c>
      <c r="D47">
        <f>D6/$B$7*$B$8</f>
        <v/>
      </c>
      <c r="E47">
        <f>E6/$B$7*$B$8</f>
        <v/>
      </c>
      <c r="F47">
        <f>F6/$B$7*$B$8</f>
        <v/>
      </c>
      <c r="G47">
        <f>G6/$B$7*$B$8</f>
        <v/>
      </c>
      <c r="H47">
        <f>H6/$B$7*$B$8</f>
        <v/>
      </c>
      <c r="I47">
        <f>I6/$B$7*$B$8</f>
        <v/>
      </c>
      <c r="J47">
        <f>J6/$B$7*$B$8</f>
        <v/>
      </c>
      <c r="K47">
        <f>K6/$B$7*$B$8</f>
        <v/>
      </c>
      <c r="L47">
        <f>L6/$B$7*$B$8</f>
        <v/>
      </c>
      <c r="M47">
        <f>M6/$B$7*$B$8</f>
        <v/>
      </c>
      <c r="N47">
        <f>SUM(B47:M47)</f>
        <v/>
      </c>
    </row>
    <row r="48">
      <c r="A48" t="inlineStr">
        <is>
          <t>Регистрации: комьюнити</t>
        </is>
      </c>
      <c r="B48">
        <f>B9</f>
        <v/>
      </c>
      <c r="C48">
        <f>C9</f>
        <v/>
      </c>
      <c r="D48">
        <f>D9</f>
        <v/>
      </c>
      <c r="E48">
        <f>E9</f>
        <v/>
      </c>
      <c r="F48">
        <f>F9</f>
        <v/>
      </c>
      <c r="G48">
        <f>G9</f>
        <v/>
      </c>
      <c r="H48">
        <f>H9</f>
        <v/>
      </c>
      <c r="I48">
        <f>I9</f>
        <v/>
      </c>
      <c r="J48">
        <f>J9</f>
        <v/>
      </c>
      <c r="K48">
        <f>K9</f>
        <v/>
      </c>
      <c r="L48">
        <f>L9</f>
        <v/>
      </c>
      <c r="M48">
        <f>M9</f>
        <v/>
      </c>
      <c r="N48">
        <f>SUM(B48:M48)</f>
        <v/>
      </c>
    </row>
    <row r="49">
      <c r="A49" t="inlineStr">
        <is>
          <t>Регистрации: SEO</t>
        </is>
      </c>
      <c r="B49">
        <f>B12*$B$13</f>
        <v/>
      </c>
      <c r="C49">
        <f>C12*$B$13</f>
        <v/>
      </c>
      <c r="D49">
        <f>D12*$B$13</f>
        <v/>
      </c>
      <c r="E49">
        <f>E12*$B$13</f>
        <v/>
      </c>
      <c r="F49">
        <f>F12*$B$13</f>
        <v/>
      </c>
      <c r="G49">
        <f>G12*$B$13</f>
        <v/>
      </c>
      <c r="H49">
        <f>H12*$B$13</f>
        <v/>
      </c>
      <c r="I49">
        <f>I12*$B$13</f>
        <v/>
      </c>
      <c r="J49">
        <f>J12*$B$13</f>
        <v/>
      </c>
      <c r="K49">
        <f>K12*$B$13</f>
        <v/>
      </c>
      <c r="L49">
        <f>L12*$B$13</f>
        <v/>
      </c>
      <c r="M49">
        <f>M12*$B$13</f>
        <v/>
      </c>
      <c r="N49">
        <f>SUM(B49:M49)</f>
        <v/>
      </c>
    </row>
    <row r="50">
      <c r="A50" t="inlineStr">
        <is>
          <t>Регистрации: агентства</t>
        </is>
      </c>
      <c r="B50">
        <f>B46*$B$15*$B$16</f>
        <v/>
      </c>
      <c r="C50">
        <f>C46*$B$15*$B$16</f>
        <v/>
      </c>
      <c r="D50">
        <f>D46*$B$15*$B$16</f>
        <v/>
      </c>
      <c r="E50">
        <f>E46*$B$15*$B$16</f>
        <v/>
      </c>
      <c r="F50">
        <f>F46*$B$15*$B$16</f>
        <v/>
      </c>
      <c r="G50">
        <f>G46*$B$15*$B$16</f>
        <v/>
      </c>
      <c r="H50">
        <f>H46*$B$15*$B$16</f>
        <v/>
      </c>
      <c r="I50">
        <f>I46*$B$15*$B$16</f>
        <v/>
      </c>
      <c r="J50">
        <f>J46*$B$15*$B$16</f>
        <v/>
      </c>
      <c r="K50">
        <f>K46*$B$15*$B$16</f>
        <v/>
      </c>
      <c r="L50">
        <f>L46*$B$15*$B$16</f>
        <v/>
      </c>
      <c r="M50">
        <f>M46*$B$15*$B$16</f>
        <v/>
      </c>
      <c r="N50">
        <f>SUM(B50:M50)</f>
        <v/>
      </c>
    </row>
    <row r="51">
      <c r="A51" t="inlineStr">
        <is>
          <t>Лиды: партнёры (уже квалифицированы)</t>
        </is>
      </c>
      <c r="B51">
        <f>B10*$B$11</f>
        <v/>
      </c>
      <c r="C51">
        <f>C10*$B$11</f>
        <v/>
      </c>
      <c r="D51">
        <f>D10*$B$11</f>
        <v/>
      </c>
      <c r="E51">
        <f>E10*$B$11</f>
        <v/>
      </c>
      <c r="F51">
        <f>F10*$B$11</f>
        <v/>
      </c>
      <c r="G51">
        <f>G10*$B$11</f>
        <v/>
      </c>
      <c r="H51">
        <f>H10*$B$11</f>
        <v/>
      </c>
      <c r="I51">
        <f>I10*$B$11</f>
        <v/>
      </c>
      <c r="J51">
        <f>J10*$B$11</f>
        <v/>
      </c>
      <c r="K51">
        <f>K10*$B$11</f>
        <v/>
      </c>
      <c r="L51">
        <f>L10*$B$11</f>
        <v/>
      </c>
      <c r="M51">
        <f>M10*$B$11</f>
        <v/>
      </c>
      <c r="N51">
        <f>SUM(B51:M51)</f>
        <v/>
      </c>
    </row>
    <row r="52">
      <c r="A52" s="6" t="inlineStr">
        <is>
          <t>Итого регистраций</t>
        </is>
      </c>
      <c r="B52" s="6">
        <f>B47+B48+B49+B50+B51</f>
        <v/>
      </c>
      <c r="C52" s="6">
        <f>C47+C48+C49+C50+C51</f>
        <v/>
      </c>
      <c r="D52" s="6">
        <f>D47+D48+D49+D50+D51</f>
        <v/>
      </c>
      <c r="E52" s="6">
        <f>E47+E48+E49+E50+E51</f>
        <v/>
      </c>
      <c r="F52" s="6">
        <f>F47+F48+F49+F50+F51</f>
        <v/>
      </c>
      <c r="G52" s="6">
        <f>G47+G48+G49+G50+G51</f>
        <v/>
      </c>
      <c r="H52" s="6">
        <f>H47+H48+H49+H50+H51</f>
        <v/>
      </c>
      <c r="I52" s="6">
        <f>I47+I48+I49+I50+I51</f>
        <v/>
      </c>
      <c r="J52" s="6">
        <f>J47+J48+J49+J50+J51</f>
        <v/>
      </c>
      <c r="K52" s="6">
        <f>K47+K48+K49+K50+K51</f>
        <v/>
      </c>
      <c r="L52" s="6">
        <f>L47+L48+L49+L50+L51</f>
        <v/>
      </c>
      <c r="M52" s="6">
        <f>M47+M48+M49+M50+M51</f>
        <v/>
      </c>
      <c r="N52" s="6">
        <f>SUM(B52:M52)</f>
        <v/>
      </c>
    </row>
    <row r="53">
      <c r="A53" t="inlineStr">
        <is>
          <t>Квалифицировано: paid</t>
        </is>
      </c>
      <c r="B53">
        <f>B47*$B$21</f>
        <v/>
      </c>
      <c r="C53">
        <f>C47*$B$21</f>
        <v/>
      </c>
      <c r="D53">
        <f>D47*$B$21</f>
        <v/>
      </c>
      <c r="E53">
        <f>E47*$B$21</f>
        <v/>
      </c>
      <c r="F53">
        <f>F47*$B$21</f>
        <v/>
      </c>
      <c r="G53">
        <f>G47*$B$21</f>
        <v/>
      </c>
      <c r="H53">
        <f>H47*$B$21</f>
        <v/>
      </c>
      <c r="I53">
        <f>I47*$B$21</f>
        <v/>
      </c>
      <c r="J53">
        <f>J47*$B$21</f>
        <v/>
      </c>
      <c r="K53">
        <f>K47*$B$21</f>
        <v/>
      </c>
      <c r="L53">
        <f>L47*$B$21</f>
        <v/>
      </c>
      <c r="M53">
        <f>M47*$B$21</f>
        <v/>
      </c>
      <c r="N53">
        <f>SUM(B53:M53)</f>
        <v/>
      </c>
    </row>
    <row r="54">
      <c r="A54" t="inlineStr">
        <is>
          <t>Квалифицировано: комьюнити</t>
        </is>
      </c>
      <c r="B54">
        <f>B48*$B$22</f>
        <v/>
      </c>
      <c r="C54">
        <f>C48*$B$22</f>
        <v/>
      </c>
      <c r="D54">
        <f>D48*$B$22</f>
        <v/>
      </c>
      <c r="E54">
        <f>E48*$B$22</f>
        <v/>
      </c>
      <c r="F54">
        <f>F48*$B$22</f>
        <v/>
      </c>
      <c r="G54">
        <f>G48*$B$22</f>
        <v/>
      </c>
      <c r="H54">
        <f>H48*$B$22</f>
        <v/>
      </c>
      <c r="I54">
        <f>I48*$B$22</f>
        <v/>
      </c>
      <c r="J54">
        <f>J48*$B$22</f>
        <v/>
      </c>
      <c r="K54">
        <f>K48*$B$22</f>
        <v/>
      </c>
      <c r="L54">
        <f>L48*$B$22</f>
        <v/>
      </c>
      <c r="M54">
        <f>M48*$B$22</f>
        <v/>
      </c>
      <c r="N54">
        <f>SUM(B54:M54)</f>
        <v/>
      </c>
    </row>
    <row r="55">
      <c r="A55" t="inlineStr">
        <is>
          <t>Квалифицировано: SEO</t>
        </is>
      </c>
      <c r="B55">
        <f>B49*$B$24</f>
        <v/>
      </c>
      <c r="C55">
        <f>C49*$B$24</f>
        <v/>
      </c>
      <c r="D55">
        <f>D49*$B$24</f>
        <v/>
      </c>
      <c r="E55">
        <f>E49*$B$24</f>
        <v/>
      </c>
      <c r="F55">
        <f>F49*$B$24</f>
        <v/>
      </c>
      <c r="G55">
        <f>G49*$B$24</f>
        <v/>
      </c>
      <c r="H55">
        <f>H49*$B$24</f>
        <v/>
      </c>
      <c r="I55">
        <f>I49*$B$24</f>
        <v/>
      </c>
      <c r="J55">
        <f>J49*$B$24</f>
        <v/>
      </c>
      <c r="K55">
        <f>K49*$B$24</f>
        <v/>
      </c>
      <c r="L55">
        <f>L49*$B$24</f>
        <v/>
      </c>
      <c r="M55">
        <f>M49*$B$24</f>
        <v/>
      </c>
      <c r="N55">
        <f>SUM(B55:M55)</f>
        <v/>
      </c>
    </row>
    <row r="56">
      <c r="A56" t="inlineStr">
        <is>
          <t>Квалифицировано: агентства</t>
        </is>
      </c>
      <c r="B56">
        <f>B50*$B$26</f>
        <v/>
      </c>
      <c r="C56">
        <f>C50*$B$26</f>
        <v/>
      </c>
      <c r="D56">
        <f>D50*$B$26</f>
        <v/>
      </c>
      <c r="E56">
        <f>E50*$B$26</f>
        <v/>
      </c>
      <c r="F56">
        <f>F50*$B$26</f>
        <v/>
      </c>
      <c r="G56">
        <f>G50*$B$26</f>
        <v/>
      </c>
      <c r="H56">
        <f>H50*$B$26</f>
        <v/>
      </c>
      <c r="I56">
        <f>I50*$B$26</f>
        <v/>
      </c>
      <c r="J56">
        <f>J50*$B$26</f>
        <v/>
      </c>
      <c r="K56">
        <f>K50*$B$26</f>
        <v/>
      </c>
      <c r="L56">
        <f>L50*$B$26</f>
        <v/>
      </c>
      <c r="M56">
        <f>M50*$B$26</f>
        <v/>
      </c>
      <c r="N56">
        <f>SUM(B56:M56)</f>
        <v/>
      </c>
    </row>
    <row r="57">
      <c r="A57" t="inlineStr">
        <is>
          <t>Квалифицировано: партнёры</t>
        </is>
      </c>
      <c r="B57">
        <f>B51*$B$23</f>
        <v/>
      </c>
      <c r="C57">
        <f>C51*$B$23</f>
        <v/>
      </c>
      <c r="D57">
        <f>D51*$B$23</f>
        <v/>
      </c>
      <c r="E57">
        <f>E51*$B$23</f>
        <v/>
      </c>
      <c r="F57">
        <f>F51*$B$23</f>
        <v/>
      </c>
      <c r="G57">
        <f>G51*$B$23</f>
        <v/>
      </c>
      <c r="H57">
        <f>H51*$B$23</f>
        <v/>
      </c>
      <c r="I57">
        <f>I51*$B$23</f>
        <v/>
      </c>
      <c r="J57">
        <f>J51*$B$23</f>
        <v/>
      </c>
      <c r="K57">
        <f>K51*$B$23</f>
        <v/>
      </c>
      <c r="L57">
        <f>L51*$B$23</f>
        <v/>
      </c>
      <c r="M57">
        <f>M51*$B$23</f>
        <v/>
      </c>
      <c r="N57">
        <f>SUM(B57:M57)</f>
        <v/>
      </c>
    </row>
    <row r="58">
      <c r="A58" t="inlineStr">
        <is>
          <t>Квалифицировано: referral</t>
        </is>
      </c>
      <c r="B58" t="n">
        <v>0</v>
      </c>
      <c r="C58">
        <f>B62*$B$17*$B$25</f>
        <v/>
      </c>
      <c r="D58">
        <f>C62*$B$17*$B$25</f>
        <v/>
      </c>
      <c r="E58">
        <f>D62*$B$17*$B$25</f>
        <v/>
      </c>
      <c r="F58">
        <f>E62*$B$17*$B$25</f>
        <v/>
      </c>
      <c r="G58">
        <f>F62*$B$17*$B$25</f>
        <v/>
      </c>
      <c r="H58">
        <f>G62*$B$17*$B$25</f>
        <v/>
      </c>
      <c r="I58">
        <f>H62*$B$17*$B$25</f>
        <v/>
      </c>
      <c r="J58">
        <f>I62*$B$17*$B$25</f>
        <v/>
      </c>
      <c r="K58">
        <f>J62*$B$17*$B$25</f>
        <v/>
      </c>
      <c r="L58">
        <f>K62*$B$17*$B$25</f>
        <v/>
      </c>
      <c r="M58">
        <f>L62*$B$17*$B$25</f>
        <v/>
      </c>
      <c r="N58">
        <f>SUM(B58:M58)</f>
        <v/>
      </c>
    </row>
    <row r="59">
      <c r="A59" s="6" t="inlineStr">
        <is>
          <t>Итого квалифицированных</t>
        </is>
      </c>
      <c r="B59" s="6">
        <f>B53+B54+B55+B56+B57+B58</f>
        <v/>
      </c>
      <c r="C59" s="6">
        <f>C53+C54+C55+C56+C57+C58</f>
        <v/>
      </c>
      <c r="D59" s="6">
        <f>D53+D54+D55+D56+D57+D58</f>
        <v/>
      </c>
      <c r="E59" s="6">
        <f>E53+E54+E55+E56+E57+E58</f>
        <v/>
      </c>
      <c r="F59" s="6">
        <f>F53+F54+F55+F56+F57+F58</f>
        <v/>
      </c>
      <c r="G59" s="6">
        <f>G53+G54+G55+G56+G57+G58</f>
        <v/>
      </c>
      <c r="H59" s="6">
        <f>H53+H54+H55+H56+H57+H58</f>
        <v/>
      </c>
      <c r="I59" s="6">
        <f>I53+I54+I55+I56+I57+I58</f>
        <v/>
      </c>
      <c r="J59" s="6">
        <f>J53+J54+J55+J56+J57+J58</f>
        <v/>
      </c>
      <c r="K59" s="6">
        <f>K53+K54+K55+K56+K57+K58</f>
        <v/>
      </c>
      <c r="L59" s="6">
        <f>L53+L54+L55+L56+L57+L58</f>
        <v/>
      </c>
      <c r="M59" s="6">
        <f>M53+M54+M55+M56+M57+M58</f>
        <v/>
      </c>
      <c r="N59" s="6">
        <f>SUM(B59:M59)</f>
        <v/>
      </c>
    </row>
    <row r="60">
      <c r="A60" t="inlineStr">
        <is>
          <t>Сделки через агентства</t>
        </is>
      </c>
      <c r="B60">
        <f>ROUND(MIN(B59*$B$29,B46*B31),0)</f>
        <v/>
      </c>
      <c r="C60">
        <f>ROUND(MIN(C59*$B$29,C46*C31),0)</f>
        <v/>
      </c>
      <c r="D60">
        <f>ROUND(MIN(D59*$B$29,D46*D31),0)</f>
        <v/>
      </c>
      <c r="E60">
        <f>ROUND(MIN(E59*$B$29,E46*E31),0)</f>
        <v/>
      </c>
      <c r="F60">
        <f>ROUND(MIN(F59*$B$29,F46*F31),0)</f>
        <v/>
      </c>
      <c r="G60">
        <f>ROUND(MIN(G59*$B$29,G46*G31),0)</f>
        <v/>
      </c>
      <c r="H60">
        <f>ROUND(MIN(H59*$B$29,H46*H31),0)</f>
        <v/>
      </c>
      <c r="I60">
        <f>ROUND(MIN(I59*$B$29,I46*I31),0)</f>
        <v/>
      </c>
      <c r="J60">
        <f>ROUND(MIN(J59*$B$29,J46*J31),0)</f>
        <v/>
      </c>
      <c r="K60">
        <f>ROUND(MIN(K59*$B$29,K46*K31),0)</f>
        <v/>
      </c>
      <c r="L60">
        <f>ROUND(MIN(L59*$B$29,L46*L31),0)</f>
        <v/>
      </c>
      <c r="M60">
        <f>ROUND(MIN(M59*$B$29,M46*M31),0)</f>
        <v/>
      </c>
      <c r="N60">
        <f>SUM(B60:M60)</f>
        <v/>
      </c>
    </row>
    <row r="61">
      <c r="A61" t="inlineStr">
        <is>
          <t>Сделки на каталоге IS24</t>
        </is>
      </c>
      <c r="B61">
        <f>ROUND(B59*$B$30,0)</f>
        <v/>
      </c>
      <c r="C61">
        <f>ROUND(C59*$B$30,0)</f>
        <v/>
      </c>
      <c r="D61">
        <f>ROUND(D59*$B$30,0)</f>
        <v/>
      </c>
      <c r="E61">
        <f>ROUND(E59*$B$30,0)</f>
        <v/>
      </c>
      <c r="F61">
        <f>ROUND(F59*$B$30,0)</f>
        <v/>
      </c>
      <c r="G61">
        <f>ROUND(G59*$B$30,0)</f>
        <v/>
      </c>
      <c r="H61">
        <f>ROUND(H59*$B$30,0)</f>
        <v/>
      </c>
      <c r="I61">
        <f>ROUND(I59*$B$30,0)</f>
        <v/>
      </c>
      <c r="J61">
        <f>ROUND(J59*$B$30,0)</f>
        <v/>
      </c>
      <c r="K61">
        <f>ROUND(K59*$B$30,0)</f>
        <v/>
      </c>
      <c r="L61">
        <f>ROUND(L59*$B$30,0)</f>
        <v/>
      </c>
      <c r="M61">
        <f>ROUND(M59*$B$30,0)</f>
        <v/>
      </c>
      <c r="N61">
        <f>SUM(B61:M61)</f>
        <v/>
      </c>
    </row>
    <row r="62">
      <c r="A62" s="6" t="inlineStr">
        <is>
          <t>Сделок всего</t>
        </is>
      </c>
      <c r="B62" s="6">
        <f>B60+B61</f>
        <v/>
      </c>
      <c r="C62" s="6">
        <f>C60+C61</f>
        <v/>
      </c>
      <c r="D62" s="6">
        <f>D60+D61</f>
        <v/>
      </c>
      <c r="E62" s="6">
        <f>E60+E61</f>
        <v/>
      </c>
      <c r="F62" s="6">
        <f>F60+F61</f>
        <v/>
      </c>
      <c r="G62" s="6">
        <f>G60+G61</f>
        <v/>
      </c>
      <c r="H62" s="6">
        <f>H60+H61</f>
        <v/>
      </c>
      <c r="I62" s="6">
        <f>I60+I61</f>
        <v/>
      </c>
      <c r="J62" s="6">
        <f>J60+J61</f>
        <v/>
      </c>
      <c r="K62" s="6">
        <f>K60+K61</f>
        <v/>
      </c>
      <c r="L62" s="6">
        <f>L60+L61</f>
        <v/>
      </c>
      <c r="M62" s="6">
        <f>M60+M61</f>
        <v/>
      </c>
      <c r="N62" s="6">
        <f>SUM(B62:M62)</f>
        <v/>
      </c>
    </row>
    <row r="63">
      <c r="A63" t="inlineStr">
        <is>
          <t>Сделок с B2C fee</t>
        </is>
      </c>
      <c r="B63">
        <f>B61+ROUND(B60*$B$38,0)</f>
        <v/>
      </c>
      <c r="C63">
        <f>C61+ROUND(C60*$B$38,0)</f>
        <v/>
      </c>
      <c r="D63">
        <f>D61+ROUND(D60*$B$38,0)</f>
        <v/>
      </c>
      <c r="E63">
        <f>E61+ROUND(E60*$B$38,0)</f>
        <v/>
      </c>
      <c r="F63">
        <f>F61+ROUND(F60*$B$38,0)</f>
        <v/>
      </c>
      <c r="G63">
        <f>G61+ROUND(G60*$B$38,0)</f>
        <v/>
      </c>
      <c r="H63">
        <f>H61+ROUND(H60*$B$38,0)</f>
        <v/>
      </c>
      <c r="I63">
        <f>I61+ROUND(I60*$B$38,0)</f>
        <v/>
      </c>
      <c r="J63">
        <f>J61+ROUND(J60*$B$38,0)</f>
        <v/>
      </c>
      <c r="K63">
        <f>K61+ROUND(K60*$B$38,0)</f>
        <v/>
      </c>
      <c r="L63">
        <f>L61+ROUND(L60*$B$38,0)</f>
        <v/>
      </c>
      <c r="M63">
        <f>M61+ROUND(M60*$B$38,0)</f>
        <v/>
      </c>
      <c r="N63">
        <f>SUM(B63:M63)</f>
        <v/>
      </c>
    </row>
    <row r="65">
      <c r="A65" s="3" t="inlineStr">
        <is>
          <t>ВЫРУЧКА</t>
        </is>
      </c>
    </row>
    <row r="66">
      <c r="A66" t="inlineStr">
        <is>
          <t>R1+R2: сплит комиссии (аренда/продажа)</t>
        </is>
      </c>
      <c r="B66">
        <f>ROUND(B60*($B$36*$B$34+(1-$B$36)*$B$35),0)</f>
        <v/>
      </c>
      <c r="C66">
        <f>ROUND(C60*($B$36*$B$34+(1-$B$36)*$B$35),0)</f>
        <v/>
      </c>
      <c r="D66">
        <f>ROUND(D60*($B$36*$B$34+(1-$B$36)*$B$35),0)</f>
        <v/>
      </c>
      <c r="E66">
        <f>ROUND(E60*($B$36*$B$34+(1-$B$36)*$B$35),0)</f>
        <v/>
      </c>
      <c r="F66">
        <f>ROUND(F60*($B$36*$B$34+(1-$B$36)*$B$35),0)</f>
        <v/>
      </c>
      <c r="G66">
        <f>ROUND(G60*($B$36*$B$34+(1-$B$36)*$B$35),0)</f>
        <v/>
      </c>
      <c r="H66">
        <f>ROUND(H60*($B$36*$B$34+(1-$B$36)*$B$35),0)</f>
        <v/>
      </c>
      <c r="I66">
        <f>ROUND(I60*($B$36*$B$34+(1-$B$36)*$B$35),0)</f>
        <v/>
      </c>
      <c r="J66">
        <f>ROUND(J60*($B$36*$B$34+(1-$B$36)*$B$35),0)</f>
        <v/>
      </c>
      <c r="K66">
        <f>ROUND(K60*($B$36*$B$34+(1-$B$36)*$B$35),0)</f>
        <v/>
      </c>
      <c r="L66">
        <f>ROUND(L60*($B$36*$B$34+(1-$B$36)*$B$35),0)</f>
        <v/>
      </c>
      <c r="M66">
        <f>ROUND(M60*($B$36*$B$34+(1-$B$36)*$B$35),0)</f>
        <v/>
      </c>
      <c r="N66">
        <f>SUM(B66:M66)</f>
        <v/>
      </c>
    </row>
    <row r="67">
      <c r="A67" t="inlineStr">
        <is>
          <t>R3: B2C fee</t>
        </is>
      </c>
      <c r="B67">
        <f>B63*$B$37</f>
        <v/>
      </c>
      <c r="C67">
        <f>C63*$B$37</f>
        <v/>
      </c>
      <c r="D67">
        <f>D63*$B$37</f>
        <v/>
      </c>
      <c r="E67">
        <f>E63*$B$37</f>
        <v/>
      </c>
      <c r="F67">
        <f>F63*$B$37</f>
        <v/>
      </c>
      <c r="G67">
        <f>G63*$B$37</f>
        <v/>
      </c>
      <c r="H67">
        <f>H63*$B$37</f>
        <v/>
      </c>
      <c r="I67">
        <f>I63*$B$37</f>
        <v/>
      </c>
      <c r="J67">
        <f>J63*$B$37</f>
        <v/>
      </c>
      <c r="K67">
        <f>K63*$B$37</f>
        <v/>
      </c>
      <c r="L67">
        <f>L63*$B$37</f>
        <v/>
      </c>
      <c r="M67">
        <f>M63*$B$37</f>
        <v/>
      </c>
      <c r="N67">
        <f>SUM(B67:M67)</f>
        <v/>
      </c>
    </row>
    <row r="68">
      <c r="A68" t="inlineStr">
        <is>
          <t>R4: upsell</t>
        </is>
      </c>
      <c r="B68">
        <f>B42</f>
        <v/>
      </c>
      <c r="C68">
        <f>C42</f>
        <v/>
      </c>
      <c r="D68">
        <f>D42</f>
        <v/>
      </c>
      <c r="E68">
        <f>E42</f>
        <v/>
      </c>
      <c r="F68">
        <f>F42</f>
        <v/>
      </c>
      <c r="G68">
        <f>G42</f>
        <v/>
      </c>
      <c r="H68">
        <f>H42</f>
        <v/>
      </c>
      <c r="I68">
        <f>I42</f>
        <v/>
      </c>
      <c r="J68">
        <f>J42</f>
        <v/>
      </c>
      <c r="K68">
        <f>K42</f>
        <v/>
      </c>
      <c r="L68">
        <f>L42</f>
        <v/>
      </c>
      <c r="M68">
        <f>M42</f>
        <v/>
      </c>
      <c r="N68">
        <f>SUM(B68:M68)</f>
        <v/>
      </c>
    </row>
    <row r="69">
      <c r="A69" t="inlineStr">
        <is>
          <t>R5: реферал на мебель (Zolak)</t>
        </is>
      </c>
      <c r="B69">
        <f>ROUND(B62*$B$40*$B$41,0)</f>
        <v/>
      </c>
      <c r="C69">
        <f>ROUND(C62*$B$40*$B$41,0)</f>
        <v/>
      </c>
      <c r="D69">
        <f>ROUND(D62*$B$40*$B$41,0)</f>
        <v/>
      </c>
      <c r="E69">
        <f>ROUND(E62*$B$40*$B$41,0)</f>
        <v/>
      </c>
      <c r="F69">
        <f>ROUND(F62*$B$40*$B$41,0)</f>
        <v/>
      </c>
      <c r="G69">
        <f>ROUND(G62*$B$40*$B$41,0)</f>
        <v/>
      </c>
      <c r="H69">
        <f>ROUND(H62*$B$40*$B$41,0)</f>
        <v/>
      </c>
      <c r="I69">
        <f>ROUND(I62*$B$40*$B$41,0)</f>
        <v/>
      </c>
      <c r="J69">
        <f>ROUND(J62*$B$40*$B$41,0)</f>
        <v/>
      </c>
      <c r="K69">
        <f>ROUND(K62*$B$40*$B$41,0)</f>
        <v/>
      </c>
      <c r="L69">
        <f>ROUND(L62*$B$40*$B$41,0)</f>
        <v/>
      </c>
      <c r="M69">
        <f>ROUND(M62*$B$40*$B$41,0)</f>
        <v/>
      </c>
      <c r="N69">
        <f>SUM(B69:M69)</f>
        <v/>
      </c>
    </row>
    <row r="70">
      <c r="A70" s="6" t="inlineStr">
        <is>
          <t>TOTAL REVENUE</t>
        </is>
      </c>
      <c r="B70" s="6">
        <f>B66+B67+B68+B69</f>
        <v/>
      </c>
      <c r="C70" s="6">
        <f>C66+C67+C68+C69</f>
        <v/>
      </c>
      <c r="D70" s="6">
        <f>D66+D67+D68+D69</f>
        <v/>
      </c>
      <c r="E70" s="6">
        <f>E66+E67+E68+E69</f>
        <v/>
      </c>
      <c r="F70" s="6">
        <f>F66+F67+F68+F69</f>
        <v/>
      </c>
      <c r="G70" s="6">
        <f>G66+G67+G68+G69</f>
        <v/>
      </c>
      <c r="H70" s="6">
        <f>H66+H67+H68+H69</f>
        <v/>
      </c>
      <c r="I70" s="6">
        <f>I66+I67+I68+I69</f>
        <v/>
      </c>
      <c r="J70" s="6">
        <f>J66+J67+J68+J69</f>
        <v/>
      </c>
      <c r="K70" s="6">
        <f>K66+K67+K68+K69</f>
        <v/>
      </c>
      <c r="L70" s="6">
        <f>L66+L67+L68+L69</f>
        <v/>
      </c>
      <c r="M70" s="6">
        <f>M66+M67+M68+M69</f>
        <v/>
      </c>
      <c r="N70" s="6">
        <f>SUM(B70:M70)</f>
        <v/>
      </c>
    </row>
    <row r="72">
      <c r="A72" s="3" t="inlineStr">
        <is>
          <t>РАСХОДЫ</t>
        </is>
      </c>
    </row>
    <row r="73">
      <c r="A73" t="inlineStr">
        <is>
          <t>Маркетинг: paid</t>
        </is>
      </c>
      <c r="B73">
        <f>B6</f>
        <v/>
      </c>
      <c r="C73">
        <f>C6</f>
        <v/>
      </c>
      <c r="D73">
        <f>D6</f>
        <v/>
      </c>
      <c r="E73">
        <f>E6</f>
        <v/>
      </c>
      <c r="F73">
        <f>F6</f>
        <v/>
      </c>
      <c r="G73">
        <f>G6</f>
        <v/>
      </c>
      <c r="H73">
        <f>H6</f>
        <v/>
      </c>
      <c r="I73">
        <f>I6</f>
        <v/>
      </c>
      <c r="J73">
        <f>J6</f>
        <v/>
      </c>
      <c r="K73">
        <f>K6</f>
        <v/>
      </c>
      <c r="L73">
        <f>L6</f>
        <v/>
      </c>
      <c r="M73">
        <f>M6</f>
        <v/>
      </c>
      <c r="N73">
        <f>SUM(B73:M73)</f>
        <v/>
      </c>
    </row>
    <row r="74">
      <c r="A74" t="inlineStr">
        <is>
          <t>Контент / SEO</t>
        </is>
      </c>
      <c r="B74" s="8" t="n">
        <v>500</v>
      </c>
      <c r="C74" s="8" t="n">
        <v>500</v>
      </c>
      <c r="D74" s="8" t="n">
        <v>500</v>
      </c>
      <c r="E74" s="8" t="n">
        <v>500</v>
      </c>
      <c r="F74" s="8" t="n">
        <v>500</v>
      </c>
      <c r="G74" s="8" t="n">
        <v>500</v>
      </c>
      <c r="H74" s="8" t="n">
        <v>500</v>
      </c>
      <c r="I74" s="8" t="n">
        <v>500</v>
      </c>
      <c r="J74" s="8" t="n">
        <v>500</v>
      </c>
      <c r="K74" s="8" t="n">
        <v>500</v>
      </c>
      <c r="L74" s="8" t="n">
        <v>500</v>
      </c>
      <c r="M74" s="8" t="n">
        <v>500</v>
      </c>
      <c r="N74">
        <f>SUM(B74:M74)</f>
        <v/>
      </c>
    </row>
    <row r="75">
      <c r="A75" t="inlineStr">
        <is>
          <t>Продажник (BD): базовая ЗП, DE-speaking</t>
        </is>
      </c>
      <c r="B75" s="8" t="n">
        <v>1200</v>
      </c>
      <c r="C75" s="8" t="n">
        <v>1291</v>
      </c>
      <c r="D75" s="8" t="n">
        <v>1382</v>
      </c>
      <c r="E75" s="8" t="n">
        <v>1473</v>
      </c>
      <c r="F75" s="8" t="n">
        <v>1564</v>
      </c>
      <c r="G75" s="8" t="n">
        <v>1655</v>
      </c>
      <c r="H75" s="8" t="n">
        <v>1745</v>
      </c>
      <c r="I75" s="8" t="n">
        <v>1836</v>
      </c>
      <c r="J75" s="8" t="n">
        <v>1927</v>
      </c>
      <c r="K75" s="8" t="n">
        <v>2018</v>
      </c>
      <c r="L75" s="8" t="n">
        <v>2109</v>
      </c>
      <c r="M75" s="8" t="n">
        <v>2200</v>
      </c>
      <c r="N75">
        <f>SUM(B75:M75)</f>
        <v/>
      </c>
    </row>
    <row r="76">
      <c r="A76" t="inlineStr">
        <is>
          <t>Backend-контрактор (доработки, фичи)</t>
        </is>
      </c>
      <c r="B76" s="8" t="n">
        <v>1800</v>
      </c>
      <c r="C76" s="8" t="n">
        <v>1800</v>
      </c>
      <c r="D76" s="8" t="n">
        <v>1800</v>
      </c>
      <c r="E76" s="8" t="n">
        <v>2100</v>
      </c>
      <c r="F76" s="8" t="n">
        <v>2100</v>
      </c>
      <c r="G76" s="8" t="n">
        <v>2100</v>
      </c>
      <c r="H76" s="8" t="n">
        <v>2400</v>
      </c>
      <c r="I76" s="8" t="n">
        <v>2400</v>
      </c>
      <c r="J76" s="8" t="n">
        <v>2400</v>
      </c>
      <c r="K76" s="8" t="n">
        <v>2700</v>
      </c>
      <c r="L76" s="8" t="n">
        <v>2700</v>
      </c>
      <c r="M76" s="8" t="n">
        <v>2700</v>
      </c>
      <c r="N76">
        <f>SUM(B76:M76)</f>
        <v/>
      </c>
    </row>
    <row r="77">
      <c r="A77" t="inlineStr">
        <is>
          <t>Парсер / инфра-мейнтенанс (IS24 anti-bot, Chrome pipeline)</t>
        </is>
      </c>
      <c r="B77" s="8" t="n">
        <v>600</v>
      </c>
      <c r="C77" s="8" t="n">
        <v>600</v>
      </c>
      <c r="D77" s="8" t="n">
        <v>600</v>
      </c>
      <c r="E77" s="8" t="n">
        <v>700</v>
      </c>
      <c r="F77" s="8" t="n">
        <v>700</v>
      </c>
      <c r="G77" s="8" t="n">
        <v>700</v>
      </c>
      <c r="H77" s="8" t="n">
        <v>800</v>
      </c>
      <c r="I77" s="8" t="n">
        <v>800</v>
      </c>
      <c r="J77" s="8" t="n">
        <v>800</v>
      </c>
      <c r="K77" s="8" t="n">
        <v>900</v>
      </c>
      <c r="L77" s="8" t="n">
        <v>900</v>
      </c>
      <c r="M77" s="8" t="n">
        <v>900</v>
      </c>
      <c r="N77">
        <f>SUM(B77:M77)</f>
        <v/>
      </c>
    </row>
    <row r="78">
      <c r="A78" t="inlineStr">
        <is>
          <t>Support/ops (B2C + агентства)</t>
        </is>
      </c>
      <c r="B78" s="8" t="n">
        <v>600</v>
      </c>
      <c r="C78" s="8" t="n">
        <v>600</v>
      </c>
      <c r="D78" s="8" t="n">
        <v>600</v>
      </c>
      <c r="E78" s="8" t="n">
        <v>700</v>
      </c>
      <c r="F78" s="8" t="n">
        <v>700</v>
      </c>
      <c r="G78" s="8" t="n">
        <v>700</v>
      </c>
      <c r="H78" s="8" t="n">
        <v>800</v>
      </c>
      <c r="I78" s="8" t="n">
        <v>800</v>
      </c>
      <c r="J78" s="8" t="n">
        <v>800</v>
      </c>
      <c r="K78" s="8" t="n">
        <v>900</v>
      </c>
      <c r="L78" s="8" t="n">
        <v>900</v>
      </c>
      <c r="M78" s="8" t="n">
        <v>900</v>
      </c>
      <c r="N78">
        <f>SUM(B78:M78)</f>
        <v/>
      </c>
    </row>
    <row r="79">
      <c r="A79" t="inlineStr">
        <is>
          <t>Инфраструктура + AI API</t>
        </is>
      </c>
      <c r="B79" s="8" t="n">
        <v>700</v>
      </c>
      <c r="C79" s="8" t="n">
        <v>750</v>
      </c>
      <c r="D79" s="8" t="n">
        <v>800</v>
      </c>
      <c r="E79" s="8" t="n">
        <v>850</v>
      </c>
      <c r="F79" s="8" t="n">
        <v>900</v>
      </c>
      <c r="G79" s="8" t="n">
        <v>950</v>
      </c>
      <c r="H79" s="8" t="n">
        <v>1000</v>
      </c>
      <c r="I79" s="8" t="n">
        <v>1050</v>
      </c>
      <c r="J79" s="8" t="n">
        <v>1100</v>
      </c>
      <c r="K79" s="8" t="n">
        <v>1150</v>
      </c>
      <c r="L79" s="8" t="n">
        <v>1200</v>
      </c>
      <c r="M79" s="8" t="n">
        <v>1250</v>
      </c>
      <c r="N79">
        <f>SUM(B79:M79)</f>
        <v/>
      </c>
    </row>
    <row r="80">
      <c r="A80" t="inlineStr">
        <is>
          <t>Tools, legal, прочее</t>
        </is>
      </c>
      <c r="B80" s="8" t="n">
        <v>500</v>
      </c>
      <c r="C80" s="8" t="n">
        <v>500</v>
      </c>
      <c r="D80" s="8" t="n">
        <v>500</v>
      </c>
      <c r="E80" s="8" t="n">
        <v>600</v>
      </c>
      <c r="F80" s="8" t="n">
        <v>600</v>
      </c>
      <c r="G80" s="8" t="n">
        <v>600</v>
      </c>
      <c r="H80" s="8" t="n">
        <v>700</v>
      </c>
      <c r="I80" s="8" t="n">
        <v>700</v>
      </c>
      <c r="J80" s="8" t="n">
        <v>700</v>
      </c>
      <c r="K80" s="8" t="n">
        <v>800</v>
      </c>
      <c r="L80" s="8" t="n">
        <v>800</v>
      </c>
      <c r="M80" s="8" t="n">
        <v>800</v>
      </c>
      <c r="N80">
        <f>SUM(B80:M80)</f>
        <v/>
      </c>
    </row>
    <row r="81">
      <c r="A81" t="inlineStr">
        <is>
          <t>Продажник: комиссия (% от R1+R2)</t>
        </is>
      </c>
      <c r="B81">
        <f>ROUND(B66*$B$39,0)</f>
        <v/>
      </c>
      <c r="C81">
        <f>ROUND(C66*$B$39,0)</f>
        <v/>
      </c>
      <c r="D81">
        <f>ROUND(D66*$B$39,0)</f>
        <v/>
      </c>
      <c r="E81">
        <f>ROUND(E66*$B$39,0)</f>
        <v/>
      </c>
      <c r="F81">
        <f>ROUND(F66*$B$39,0)</f>
        <v/>
      </c>
      <c r="G81">
        <f>ROUND(G66*$B$39,0)</f>
        <v/>
      </c>
      <c r="H81">
        <f>ROUND(H66*$B$39,0)</f>
        <v/>
      </c>
      <c r="I81">
        <f>ROUND(I66*$B$39,0)</f>
        <v/>
      </c>
      <c r="J81">
        <f>ROUND(J66*$B$39,0)</f>
        <v/>
      </c>
      <c r="K81">
        <f>ROUND(K66*$B$39,0)</f>
        <v/>
      </c>
      <c r="L81">
        <f>ROUND(L66*$B$39,0)</f>
        <v/>
      </c>
      <c r="M81">
        <f>ROUND(M66*$B$39,0)</f>
        <v/>
      </c>
      <c r="N81">
        <f>SUM(B81:M81)</f>
        <v/>
      </c>
    </row>
    <row r="82">
      <c r="A82" s="6" t="inlineStr">
        <is>
          <t>TOTAL COSTS</t>
        </is>
      </c>
      <c r="B82" s="6">
        <f>B73+B74+B75+B76+B77+B78+B79+B80+B81</f>
        <v/>
      </c>
      <c r="C82" s="6">
        <f>C73+C74+C75+C76+C77+C78+C79+C80+C81</f>
        <v/>
      </c>
      <c r="D82" s="6">
        <f>D73+D74+D75+D76+D77+D78+D79+D80+D81</f>
        <v/>
      </c>
      <c r="E82" s="6">
        <f>E73+E74+E75+E76+E77+E78+E79+E80+E81</f>
        <v/>
      </c>
      <c r="F82" s="6">
        <f>F73+F74+F75+F76+F77+F78+F79+F80+F81</f>
        <v/>
      </c>
      <c r="G82" s="6">
        <f>G73+G74+G75+G76+G77+G78+G79+G80+G81</f>
        <v/>
      </c>
      <c r="H82" s="6">
        <f>H73+H74+H75+H76+H77+H78+H79+H80+H81</f>
        <v/>
      </c>
      <c r="I82" s="6">
        <f>I73+I74+I75+I76+I77+I78+I79+I80+I81</f>
        <v/>
      </c>
      <c r="J82" s="6">
        <f>J73+J74+J75+J76+J77+J78+J79+J80+J81</f>
        <v/>
      </c>
      <c r="K82" s="6">
        <f>K73+K74+K75+K76+K77+K78+K79+K80+K81</f>
        <v/>
      </c>
      <c r="L82" s="6">
        <f>L73+L74+L75+L76+L77+L78+L79+L80+L81</f>
        <v/>
      </c>
      <c r="M82" s="6">
        <f>M73+M74+M75+M76+M77+M78+M79+M80+M81</f>
        <v/>
      </c>
      <c r="N82" s="6">
        <f>SUM(B82:M82)</f>
        <v/>
      </c>
    </row>
    <row r="84">
      <c r="A84" s="6" t="inlineStr">
        <is>
          <t>EBITDA</t>
        </is>
      </c>
      <c r="B84" s="6">
        <f>B70-B82</f>
        <v/>
      </c>
      <c r="C84" s="6">
        <f>C70-C82</f>
        <v/>
      </c>
      <c r="D84" s="6">
        <f>D70-D82</f>
        <v/>
      </c>
      <c r="E84" s="6">
        <f>E70-E82</f>
        <v/>
      </c>
      <c r="F84" s="6">
        <f>F70-F82</f>
        <v/>
      </c>
      <c r="G84" s="6">
        <f>G70-G82</f>
        <v/>
      </c>
      <c r="H84" s="6">
        <f>H70-H82</f>
        <v/>
      </c>
      <c r="I84" s="6">
        <f>I70-I82</f>
        <v/>
      </c>
      <c r="J84" s="6">
        <f>J70-J82</f>
        <v/>
      </c>
      <c r="K84" s="6">
        <f>K70-K82</f>
        <v/>
      </c>
      <c r="L84" s="6">
        <f>L70-L82</f>
        <v/>
      </c>
      <c r="M84" s="6">
        <f>M70-M82</f>
        <v/>
      </c>
      <c r="N84" s="6">
        <f>SUM(B84:M84)</f>
        <v/>
      </c>
    </row>
    <row r="85">
      <c r="A85" t="inlineStr">
        <is>
          <t>Кэш (старт €18,000)</t>
        </is>
      </c>
      <c r="B85">
        <f>18000+B84</f>
        <v/>
      </c>
      <c r="C85">
        <f>B85+C84</f>
        <v/>
      </c>
      <c r="D85">
        <f>C85+D84</f>
        <v/>
      </c>
      <c r="E85">
        <f>D85+E84</f>
        <v/>
      </c>
      <c r="F85">
        <f>E85+F84</f>
        <v/>
      </c>
      <c r="G85">
        <f>F85+G84</f>
        <v/>
      </c>
      <c r="H85">
        <f>G85+H84</f>
        <v/>
      </c>
      <c r="I85">
        <f>H85+I84</f>
        <v/>
      </c>
      <c r="J85">
        <f>I85+J84</f>
        <v/>
      </c>
      <c r="K85">
        <f>J85+K84</f>
        <v/>
      </c>
      <c r="L85">
        <f>K85+L84</f>
        <v/>
      </c>
      <c r="M85">
        <f>L85+M84</f>
        <v/>
      </c>
    </row>
    <row r="87">
      <c r="A87" s="3" t="inlineStr">
        <is>
          <t>ЮНИТ-ЭКОНОМИКА (год)</t>
        </is>
      </c>
    </row>
    <row r="88">
      <c r="A88" t="inlineStr">
        <is>
          <t>CAC на квалифицированного лида, €</t>
        </is>
      </c>
      <c r="B88">
        <f>ROUND(N6/N59,0)</f>
        <v/>
      </c>
    </row>
    <row r="89">
      <c r="A89" t="inlineStr">
        <is>
          <t>CAC на сделку, €</t>
        </is>
      </c>
      <c r="B89">
        <f>ROUND(N6/N62,0)</f>
        <v/>
      </c>
    </row>
    <row r="90">
      <c r="A90" t="inlineStr">
        <is>
          <t>Выручка на агентскую сделку, €</t>
        </is>
      </c>
      <c r="B90">
        <f>ROUND($B$36*$B$34+(1-$B$36)*$B$35,0)</f>
        <v/>
      </c>
    </row>
    <row r="91">
      <c r="A91" t="inlineStr">
        <is>
          <t>LTV / CAC (агентский канал)</t>
        </is>
      </c>
      <c r="B91">
        <f>ROUND(B90/B89,1)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book.immo - PESSIMISTIC, Берлин, запуск Sep 2026 (EUR)</t>
        </is>
      </c>
    </row>
    <row r="2">
      <c r="A2" s="4" t="inlineStr">
        <is>
          <t>Жёлтые ячейки - входные драйверы (можно менять). Остальное считается формулами.</t>
        </is>
      </c>
    </row>
    <row r="4">
      <c r="A4" s="5" t="inlineStr"/>
      <c r="B4" s="5" t="inlineStr">
        <is>
          <t>Sep</t>
        </is>
      </c>
      <c r="C4" s="5" t="inlineStr">
        <is>
          <t>Oct</t>
        </is>
      </c>
      <c r="D4" s="5" t="inlineStr">
        <is>
          <t>Nov</t>
        </is>
      </c>
      <c r="E4" s="5" t="inlineStr">
        <is>
          <t>Dec</t>
        </is>
      </c>
      <c r="F4" s="5" t="inlineStr">
        <is>
          <t>Jan</t>
        </is>
      </c>
      <c r="G4" s="5" t="inlineStr">
        <is>
          <t>Feb</t>
        </is>
      </c>
      <c r="H4" s="5" t="inlineStr">
        <is>
          <t>Mar</t>
        </is>
      </c>
      <c r="I4" s="5" t="inlineStr">
        <is>
          <t>Apr</t>
        </is>
      </c>
      <c r="J4" s="5" t="inlineStr">
        <is>
          <t>May</t>
        </is>
      </c>
      <c r="K4" s="5" t="inlineStr">
        <is>
          <t>Jun</t>
        </is>
      </c>
      <c r="L4" s="5" t="inlineStr">
        <is>
          <t>Jul</t>
        </is>
      </c>
      <c r="M4" s="5" t="inlineStr">
        <is>
          <t>Aug</t>
        </is>
      </c>
      <c r="N4" s="5" t="inlineStr">
        <is>
          <t>YEAR</t>
        </is>
      </c>
    </row>
    <row r="5">
      <c r="A5" s="3" t="inlineStr">
        <is>
          <t>ДРАЙВЕРЫ - каналы (входные)</t>
        </is>
      </c>
    </row>
    <row r="6">
      <c r="A6" t="inlineStr">
        <is>
          <t>Paid: бюджет, €/мес</t>
        </is>
      </c>
      <c r="B6" s="8" t="n">
        <v>2000</v>
      </c>
      <c r="C6" s="8" t="n">
        <v>2200</v>
      </c>
      <c r="D6" s="8" t="n">
        <v>2500</v>
      </c>
      <c r="E6" s="8" t="n">
        <v>2500</v>
      </c>
      <c r="F6" s="8" t="n">
        <v>3000</v>
      </c>
      <c r="G6" s="8" t="n">
        <v>3000</v>
      </c>
      <c r="H6" s="8" t="n">
        <v>3500</v>
      </c>
      <c r="I6" s="8" t="n">
        <v>3500</v>
      </c>
      <c r="J6" s="8" t="n">
        <v>4000</v>
      </c>
      <c r="K6" s="8" t="n">
        <v>4000</v>
      </c>
      <c r="L6" s="8" t="n">
        <v>4500</v>
      </c>
      <c r="M6" s="8" t="n">
        <v>4500</v>
      </c>
      <c r="N6">
        <f>SUM(B6:M6)</f>
        <v/>
      </c>
    </row>
    <row r="7">
      <c r="A7" t="inlineStr">
        <is>
          <t>Paid: CPC, €</t>
        </is>
      </c>
      <c r="B7" s="8" t="n">
        <v>2.2</v>
      </c>
    </row>
    <row r="8">
      <c r="A8" t="inlineStr">
        <is>
          <t>Paid: визит → регистрация</t>
        </is>
      </c>
      <c r="B8" s="8" t="n">
        <v>0.02</v>
      </c>
    </row>
    <row r="9">
      <c r="A9" t="inlineStr">
        <is>
          <t>Комьюнити: регистраций/мес</t>
        </is>
      </c>
      <c r="B9" s="8" t="n">
        <v>70</v>
      </c>
      <c r="C9" s="8" t="n">
        <v>120</v>
      </c>
      <c r="D9" s="8" t="n">
        <v>180</v>
      </c>
      <c r="E9" s="8" t="n">
        <v>240</v>
      </c>
      <c r="F9" s="8" t="n">
        <v>290</v>
      </c>
      <c r="G9" s="8" t="n">
        <v>340</v>
      </c>
      <c r="H9" s="8" t="n">
        <v>370</v>
      </c>
      <c r="I9" s="8" t="n">
        <v>410</v>
      </c>
      <c r="J9" s="8" t="n">
        <v>440</v>
      </c>
      <c r="K9" s="8" t="n">
        <v>480</v>
      </c>
      <c r="L9" s="8" t="n">
        <v>510</v>
      </c>
      <c r="M9" s="8" t="n">
        <v>540</v>
      </c>
      <c r="N9">
        <f>SUM(B9:M9)</f>
        <v/>
      </c>
    </row>
    <row r="10">
      <c r="A10" t="inlineStr">
        <is>
          <t>Партнёры (HR / вузы), шт.</t>
        </is>
      </c>
      <c r="B10" s="8" t="n">
        <v>0</v>
      </c>
      <c r="C10" s="8" t="n">
        <v>0</v>
      </c>
      <c r="D10" s="8" t="n">
        <v>0</v>
      </c>
      <c r="E10" s="8" t="n">
        <v>1</v>
      </c>
      <c r="F10" s="8" t="n">
        <v>1</v>
      </c>
      <c r="G10" s="8" t="n">
        <v>1</v>
      </c>
      <c r="H10" s="8" t="n">
        <v>2</v>
      </c>
      <c r="I10" s="8" t="n">
        <v>2</v>
      </c>
      <c r="J10" s="8" t="n">
        <v>2</v>
      </c>
      <c r="K10" s="8" t="n">
        <v>3</v>
      </c>
      <c r="L10" s="8" t="n">
        <v>3</v>
      </c>
      <c r="M10" s="8" t="n">
        <v>3</v>
      </c>
    </row>
    <row r="11">
      <c r="A11" t="inlineStr">
        <is>
          <t>Лидов на партнёра / мес</t>
        </is>
      </c>
      <c r="B11" s="8" t="n">
        <v>10</v>
      </c>
    </row>
    <row r="12">
      <c r="A12" t="inlineStr">
        <is>
          <t>SEO: визитов/мес</t>
        </is>
      </c>
      <c r="B12" s="8" t="n">
        <v>480</v>
      </c>
      <c r="C12" s="8" t="n">
        <v>600</v>
      </c>
      <c r="D12" s="8" t="n">
        <v>780</v>
      </c>
      <c r="E12" s="8" t="n">
        <v>1020</v>
      </c>
      <c r="F12" s="8" t="n">
        <v>1320</v>
      </c>
      <c r="G12" s="8" t="n">
        <v>1680</v>
      </c>
      <c r="H12" s="8" t="n">
        <v>2040</v>
      </c>
      <c r="I12" s="8" t="n">
        <v>2400</v>
      </c>
      <c r="J12" s="8" t="n">
        <v>2760</v>
      </c>
      <c r="K12" s="8" t="n">
        <v>3120</v>
      </c>
      <c r="L12" s="8" t="n">
        <v>3480</v>
      </c>
      <c r="M12" s="8" t="n">
        <v>3840</v>
      </c>
      <c r="N12">
        <f>SUM(B12:M12)</f>
        <v/>
      </c>
    </row>
    <row r="13">
      <c r="A13" t="inlineStr">
        <is>
          <t>SEO: визит → регистрация</t>
        </is>
      </c>
      <c r="B13" s="8" t="n">
        <v>0.03</v>
      </c>
    </row>
    <row r="14">
      <c r="A14" t="inlineStr">
        <is>
          <t>Агентства: холодный BD (накопл.)</t>
        </is>
      </c>
      <c r="B14" s="8" t="n">
        <v>3</v>
      </c>
      <c r="C14" s="8" t="n">
        <v>3</v>
      </c>
      <c r="D14" s="8" t="n">
        <v>3</v>
      </c>
      <c r="E14" s="8" t="n">
        <v>4</v>
      </c>
      <c r="F14" s="8" t="n">
        <v>4</v>
      </c>
      <c r="G14" s="8" t="n">
        <v>5</v>
      </c>
      <c r="H14" s="8" t="n">
        <v>5</v>
      </c>
      <c r="I14" s="8" t="n">
        <v>6</v>
      </c>
      <c r="J14" s="8" t="n">
        <v>6</v>
      </c>
      <c r="K14" s="8" t="n">
        <v>7</v>
      </c>
      <c r="L14" s="8" t="n">
        <v>7</v>
      </c>
      <c r="M14" s="8" t="n">
        <v>8</v>
      </c>
    </row>
    <row r="15">
      <c r="A15" t="inlineStr">
        <is>
          <t>Визитов от агентства / мес</t>
        </is>
      </c>
      <c r="B15" s="8" t="n">
        <v>100</v>
      </c>
    </row>
    <row r="16">
      <c r="A16" t="inlineStr">
        <is>
          <t>Агентства: визит → регистрация</t>
        </is>
      </c>
      <c r="B16" s="8" t="n">
        <v>0.06</v>
      </c>
    </row>
    <row r="17">
      <c r="A17" t="inlineStr">
        <is>
          <t>Referral: лидов на сделку прошлого месяца</t>
        </is>
      </c>
      <c r="B17" s="8" t="n">
        <v>0.1</v>
      </c>
    </row>
    <row r="18">
      <c r="A18" t="inlineStr">
        <is>
          <t>Тёплый вход: доля self-deals -&gt; партнёр-агентство</t>
        </is>
      </c>
      <c r="B18" s="8" t="n">
        <v>0.025</v>
      </c>
    </row>
    <row r="20">
      <c r="A20" s="3" t="inlineStr">
        <is>
          <t>КВАЛИФИКАЦИЯ по каналу (доля регистраций, прошедших скрининг)</t>
        </is>
      </c>
    </row>
    <row r="21">
      <c r="A21" t="inlineStr">
        <is>
          <t xml:space="preserve">  Paid search (long-tail + EN)</t>
        </is>
      </c>
      <c r="B21" s="8" t="n">
        <v>0.35</v>
      </c>
    </row>
    <row r="22">
      <c r="A22" t="inlineStr">
        <is>
          <t xml:space="preserve">  Экспат-комьюнити</t>
        </is>
      </c>
      <c r="B22" s="8" t="n">
        <v>0.22</v>
      </c>
    </row>
    <row r="23">
      <c r="A23" t="inlineStr">
        <is>
          <t xml:space="preserve">  Relocation-партнёрства (B2B2C)</t>
        </is>
      </c>
      <c r="B23" s="8" t="n">
        <v>1</v>
      </c>
    </row>
    <row r="24">
      <c r="A24" t="inlineStr">
        <is>
          <t xml:space="preserve">  SEO: гео-страницы на базе каталога</t>
        </is>
      </c>
      <c r="B24" s="8" t="n">
        <v>0.4</v>
      </c>
    </row>
    <row r="25">
      <c r="A25" t="inlineStr">
        <is>
          <t xml:space="preserve">  Реферальная петля</t>
        </is>
      </c>
      <c r="B25" s="8" t="n">
        <v>0.5</v>
      </c>
    </row>
    <row r="26">
      <c r="A26" t="inlineStr">
        <is>
          <t xml:space="preserve">  Агентства как канал</t>
        </is>
      </c>
      <c r="B26" s="8" t="n">
        <v>0.5</v>
      </c>
    </row>
    <row r="28">
      <c r="A28" s="3" t="inlineStr">
        <is>
          <t>КОНВЕРСИЯ в сделку</t>
        </is>
      </c>
    </row>
    <row r="29">
      <c r="A29" t="inlineStr">
        <is>
          <t>Квалифицированный → сделка через агентство</t>
        </is>
      </c>
      <c r="B29" s="8" t="n">
        <v>0.08</v>
      </c>
    </row>
    <row r="30">
      <c r="A30" t="inlineStr">
        <is>
          <t>Квалифицированный → сделка на каталоге IS24</t>
        </is>
      </c>
      <c r="B30" s="8" t="n">
        <v>0.025</v>
      </c>
    </row>
    <row r="31">
      <c r="A31" t="inlineStr">
        <is>
          <t>Потолок сделок на агентство / мес</t>
        </is>
      </c>
      <c r="B31" s="8" t="n">
        <v>0.5</v>
      </c>
      <c r="C31" s="8" t="n">
        <v>0.5</v>
      </c>
      <c r="D31" s="8" t="n">
        <v>1</v>
      </c>
      <c r="E31" s="8" t="n">
        <v>1</v>
      </c>
      <c r="F31" s="8" t="n">
        <v>1</v>
      </c>
      <c r="G31" s="8" t="n">
        <v>1.5</v>
      </c>
      <c r="H31" s="8" t="n">
        <v>1.5</v>
      </c>
      <c r="I31" s="8" t="n">
        <v>1.5</v>
      </c>
      <c r="J31" s="8" t="n">
        <v>2</v>
      </c>
      <c r="K31" s="8" t="n">
        <v>2</v>
      </c>
      <c r="L31" s="8" t="n">
        <v>2</v>
      </c>
      <c r="M31" s="8" t="n">
        <v>2</v>
      </c>
    </row>
    <row r="33">
      <c r="A33" s="3" t="inlineStr">
        <is>
          <t>UNIT ECONOMICS</t>
        </is>
      </c>
    </row>
    <row r="34">
      <c r="A34" t="inlineStr">
        <is>
          <t>Сплит аренда, €/сделка</t>
        </is>
      </c>
      <c r="B34" s="8" t="n">
        <v>605</v>
      </c>
    </row>
    <row r="35">
      <c r="A35" t="inlineStr">
        <is>
          <t>Сплит продажа, €/сделка</t>
        </is>
      </c>
      <c r="B35" s="8" t="n">
        <v>2400</v>
      </c>
    </row>
    <row r="36">
      <c r="A36" t="inlineStr">
        <is>
          <t>Доля аренды</t>
        </is>
      </c>
      <c r="B36" s="8" t="n">
        <v>0.85</v>
      </c>
    </row>
    <row r="37">
      <c r="A37" t="inlineStr">
        <is>
          <t>B2C fee, €</t>
        </is>
      </c>
      <c r="B37" s="8" t="n">
        <v>149</v>
      </c>
    </row>
    <row r="38">
      <c r="A38" t="inlineStr">
        <is>
          <t>Доля агентских сделок, платящих B2C fee</t>
        </is>
      </c>
      <c r="B38" s="8" t="n">
        <v>0.5</v>
      </c>
    </row>
    <row r="39">
      <c r="A39" t="inlineStr">
        <is>
          <t>Продажник: % от выручки агентских сделок</t>
        </is>
      </c>
      <c r="B39" s="8" t="n">
        <v>0.08</v>
      </c>
    </row>
    <row r="40">
      <c r="A40" t="inlineStr">
        <is>
          <t>Zolak: средний чек мебели, €</t>
        </is>
      </c>
      <c r="B40" s="8" t="n">
        <v>3000</v>
      </c>
    </row>
    <row r="41">
      <c r="A41" t="inlineStr">
        <is>
          <t>Zolak: наша доля от мебели</t>
        </is>
      </c>
      <c r="B41" s="8" t="n">
        <v>0.015</v>
      </c>
    </row>
    <row r="42">
      <c r="A42" t="inlineStr">
        <is>
          <t>Upsell агентствам, €/мес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>
        <f>SUM(B42:M42)</f>
        <v/>
      </c>
    </row>
    <row r="44">
      <c r="A44" s="3" t="inlineStr">
        <is>
          <t>ВОРОНКА</t>
        </is>
      </c>
    </row>
    <row r="45">
      <c r="A45" t="inlineStr">
        <is>
          <t>Тёплые агентства (накопл., от прошлых self-deals)</t>
        </is>
      </c>
      <c r="B45" t="n">
        <v>0</v>
      </c>
      <c r="C45">
        <f>B45+ROUND(B61*$B$18,0)</f>
        <v/>
      </c>
      <c r="D45">
        <f>C45+ROUND(C61*$B$18,0)</f>
        <v/>
      </c>
      <c r="E45">
        <f>D45+ROUND(D61*$B$18,0)</f>
        <v/>
      </c>
      <c r="F45">
        <f>E45+ROUND(E61*$B$18,0)</f>
        <v/>
      </c>
      <c r="G45">
        <f>F45+ROUND(F61*$B$18,0)</f>
        <v/>
      </c>
      <c r="H45">
        <f>G45+ROUND(G61*$B$18,0)</f>
        <v/>
      </c>
      <c r="I45">
        <f>H45+ROUND(H61*$B$18,0)</f>
        <v/>
      </c>
      <c r="J45">
        <f>I45+ROUND(I61*$B$18,0)</f>
        <v/>
      </c>
      <c r="K45">
        <f>J45+ROUND(J61*$B$18,0)</f>
        <v/>
      </c>
      <c r="L45">
        <f>K45+ROUND(K61*$B$18,0)</f>
        <v/>
      </c>
      <c r="M45">
        <f>L45+ROUND(L61*$B$18,0)</f>
        <v/>
      </c>
    </row>
    <row r="46">
      <c r="A46" t="inlineStr">
        <is>
          <t>Эффективные агентства (холодные + тёплые)</t>
        </is>
      </c>
      <c r="B46">
        <f>B14+B45</f>
        <v/>
      </c>
      <c r="C46">
        <f>C14+C45</f>
        <v/>
      </c>
      <c r="D46">
        <f>D14+D45</f>
        <v/>
      </c>
      <c r="E46">
        <f>E14+E45</f>
        <v/>
      </c>
      <c r="F46">
        <f>F14+F45</f>
        <v/>
      </c>
      <c r="G46">
        <f>G14+G45</f>
        <v/>
      </c>
      <c r="H46">
        <f>H14+H45</f>
        <v/>
      </c>
      <c r="I46">
        <f>I14+I45</f>
        <v/>
      </c>
      <c r="J46">
        <f>J14+J45</f>
        <v/>
      </c>
      <c r="K46">
        <f>K14+K45</f>
        <v/>
      </c>
      <c r="L46">
        <f>L14+L45</f>
        <v/>
      </c>
      <c r="M46">
        <f>M14+M45</f>
        <v/>
      </c>
    </row>
    <row r="47">
      <c r="A47" t="inlineStr">
        <is>
          <t>Регистрации: paid</t>
        </is>
      </c>
      <c r="B47">
        <f>B6/$B$7*$B$8</f>
        <v/>
      </c>
      <c r="C47">
        <f>C6/$B$7*$B$8</f>
        <v/>
      </c>
      <c r="D47">
        <f>D6/$B$7*$B$8</f>
        <v/>
      </c>
      <c r="E47">
        <f>E6/$B$7*$B$8</f>
        <v/>
      </c>
      <c r="F47">
        <f>F6/$B$7*$B$8</f>
        <v/>
      </c>
      <c r="G47">
        <f>G6/$B$7*$B$8</f>
        <v/>
      </c>
      <c r="H47">
        <f>H6/$B$7*$B$8</f>
        <v/>
      </c>
      <c r="I47">
        <f>I6/$B$7*$B$8</f>
        <v/>
      </c>
      <c r="J47">
        <f>J6/$B$7*$B$8</f>
        <v/>
      </c>
      <c r="K47">
        <f>K6/$B$7*$B$8</f>
        <v/>
      </c>
      <c r="L47">
        <f>L6/$B$7*$B$8</f>
        <v/>
      </c>
      <c r="M47">
        <f>M6/$B$7*$B$8</f>
        <v/>
      </c>
      <c r="N47">
        <f>SUM(B47:M47)</f>
        <v/>
      </c>
    </row>
    <row r="48">
      <c r="A48" t="inlineStr">
        <is>
          <t>Регистрации: комьюнити</t>
        </is>
      </c>
      <c r="B48">
        <f>B9</f>
        <v/>
      </c>
      <c r="C48">
        <f>C9</f>
        <v/>
      </c>
      <c r="D48">
        <f>D9</f>
        <v/>
      </c>
      <c r="E48">
        <f>E9</f>
        <v/>
      </c>
      <c r="F48">
        <f>F9</f>
        <v/>
      </c>
      <c r="G48">
        <f>G9</f>
        <v/>
      </c>
      <c r="H48">
        <f>H9</f>
        <v/>
      </c>
      <c r="I48">
        <f>I9</f>
        <v/>
      </c>
      <c r="J48">
        <f>J9</f>
        <v/>
      </c>
      <c r="K48">
        <f>K9</f>
        <v/>
      </c>
      <c r="L48">
        <f>L9</f>
        <v/>
      </c>
      <c r="M48">
        <f>M9</f>
        <v/>
      </c>
      <c r="N48">
        <f>SUM(B48:M48)</f>
        <v/>
      </c>
    </row>
    <row r="49">
      <c r="A49" t="inlineStr">
        <is>
          <t>Регистрации: SEO</t>
        </is>
      </c>
      <c r="B49">
        <f>B12*$B$13</f>
        <v/>
      </c>
      <c r="C49">
        <f>C12*$B$13</f>
        <v/>
      </c>
      <c r="D49">
        <f>D12*$B$13</f>
        <v/>
      </c>
      <c r="E49">
        <f>E12*$B$13</f>
        <v/>
      </c>
      <c r="F49">
        <f>F12*$B$13</f>
        <v/>
      </c>
      <c r="G49">
        <f>G12*$B$13</f>
        <v/>
      </c>
      <c r="H49">
        <f>H12*$B$13</f>
        <v/>
      </c>
      <c r="I49">
        <f>I12*$B$13</f>
        <v/>
      </c>
      <c r="J49">
        <f>J12*$B$13</f>
        <v/>
      </c>
      <c r="K49">
        <f>K12*$B$13</f>
        <v/>
      </c>
      <c r="L49">
        <f>L12*$B$13</f>
        <v/>
      </c>
      <c r="M49">
        <f>M12*$B$13</f>
        <v/>
      </c>
      <c r="N49">
        <f>SUM(B49:M49)</f>
        <v/>
      </c>
    </row>
    <row r="50">
      <c r="A50" t="inlineStr">
        <is>
          <t>Регистрации: агентства</t>
        </is>
      </c>
      <c r="B50">
        <f>B46*$B$15*$B$16</f>
        <v/>
      </c>
      <c r="C50">
        <f>C46*$B$15*$B$16</f>
        <v/>
      </c>
      <c r="D50">
        <f>D46*$B$15*$B$16</f>
        <v/>
      </c>
      <c r="E50">
        <f>E46*$B$15*$B$16</f>
        <v/>
      </c>
      <c r="F50">
        <f>F46*$B$15*$B$16</f>
        <v/>
      </c>
      <c r="G50">
        <f>G46*$B$15*$B$16</f>
        <v/>
      </c>
      <c r="H50">
        <f>H46*$B$15*$B$16</f>
        <v/>
      </c>
      <c r="I50">
        <f>I46*$B$15*$B$16</f>
        <v/>
      </c>
      <c r="J50">
        <f>J46*$B$15*$B$16</f>
        <v/>
      </c>
      <c r="K50">
        <f>K46*$B$15*$B$16</f>
        <v/>
      </c>
      <c r="L50">
        <f>L46*$B$15*$B$16</f>
        <v/>
      </c>
      <c r="M50">
        <f>M46*$B$15*$B$16</f>
        <v/>
      </c>
      <c r="N50">
        <f>SUM(B50:M50)</f>
        <v/>
      </c>
    </row>
    <row r="51">
      <c r="A51" t="inlineStr">
        <is>
          <t>Лиды: партнёры (уже квалифицированы)</t>
        </is>
      </c>
      <c r="B51">
        <f>B10*$B$11</f>
        <v/>
      </c>
      <c r="C51">
        <f>C10*$B$11</f>
        <v/>
      </c>
      <c r="D51">
        <f>D10*$B$11</f>
        <v/>
      </c>
      <c r="E51">
        <f>E10*$B$11</f>
        <v/>
      </c>
      <c r="F51">
        <f>F10*$B$11</f>
        <v/>
      </c>
      <c r="G51">
        <f>G10*$B$11</f>
        <v/>
      </c>
      <c r="H51">
        <f>H10*$B$11</f>
        <v/>
      </c>
      <c r="I51">
        <f>I10*$B$11</f>
        <v/>
      </c>
      <c r="J51">
        <f>J10*$B$11</f>
        <v/>
      </c>
      <c r="K51">
        <f>K10*$B$11</f>
        <v/>
      </c>
      <c r="L51">
        <f>L10*$B$11</f>
        <v/>
      </c>
      <c r="M51">
        <f>M10*$B$11</f>
        <v/>
      </c>
      <c r="N51">
        <f>SUM(B51:M51)</f>
        <v/>
      </c>
    </row>
    <row r="52">
      <c r="A52" s="6" t="inlineStr">
        <is>
          <t>Итого регистраций</t>
        </is>
      </c>
      <c r="B52" s="6">
        <f>B47+B48+B49+B50+B51</f>
        <v/>
      </c>
      <c r="C52" s="6">
        <f>C47+C48+C49+C50+C51</f>
        <v/>
      </c>
      <c r="D52" s="6">
        <f>D47+D48+D49+D50+D51</f>
        <v/>
      </c>
      <c r="E52" s="6">
        <f>E47+E48+E49+E50+E51</f>
        <v/>
      </c>
      <c r="F52" s="6">
        <f>F47+F48+F49+F50+F51</f>
        <v/>
      </c>
      <c r="G52" s="6">
        <f>G47+G48+G49+G50+G51</f>
        <v/>
      </c>
      <c r="H52" s="6">
        <f>H47+H48+H49+H50+H51</f>
        <v/>
      </c>
      <c r="I52" s="6">
        <f>I47+I48+I49+I50+I51</f>
        <v/>
      </c>
      <c r="J52" s="6">
        <f>J47+J48+J49+J50+J51</f>
        <v/>
      </c>
      <c r="K52" s="6">
        <f>K47+K48+K49+K50+K51</f>
        <v/>
      </c>
      <c r="L52" s="6">
        <f>L47+L48+L49+L50+L51</f>
        <v/>
      </c>
      <c r="M52" s="6">
        <f>M47+M48+M49+M50+M51</f>
        <v/>
      </c>
      <c r="N52" s="6">
        <f>SUM(B52:M52)</f>
        <v/>
      </c>
    </row>
    <row r="53">
      <c r="A53" t="inlineStr">
        <is>
          <t>Квалифицировано: paid</t>
        </is>
      </c>
      <c r="B53">
        <f>B47*$B$21</f>
        <v/>
      </c>
      <c r="C53">
        <f>C47*$B$21</f>
        <v/>
      </c>
      <c r="D53">
        <f>D47*$B$21</f>
        <v/>
      </c>
      <c r="E53">
        <f>E47*$B$21</f>
        <v/>
      </c>
      <c r="F53">
        <f>F47*$B$21</f>
        <v/>
      </c>
      <c r="G53">
        <f>G47*$B$21</f>
        <v/>
      </c>
      <c r="H53">
        <f>H47*$B$21</f>
        <v/>
      </c>
      <c r="I53">
        <f>I47*$B$21</f>
        <v/>
      </c>
      <c r="J53">
        <f>J47*$B$21</f>
        <v/>
      </c>
      <c r="K53">
        <f>K47*$B$21</f>
        <v/>
      </c>
      <c r="L53">
        <f>L47*$B$21</f>
        <v/>
      </c>
      <c r="M53">
        <f>M47*$B$21</f>
        <v/>
      </c>
      <c r="N53">
        <f>SUM(B53:M53)</f>
        <v/>
      </c>
    </row>
    <row r="54">
      <c r="A54" t="inlineStr">
        <is>
          <t>Квалифицировано: комьюнити</t>
        </is>
      </c>
      <c r="B54">
        <f>B48*$B$22</f>
        <v/>
      </c>
      <c r="C54">
        <f>C48*$B$22</f>
        <v/>
      </c>
      <c r="D54">
        <f>D48*$B$22</f>
        <v/>
      </c>
      <c r="E54">
        <f>E48*$B$22</f>
        <v/>
      </c>
      <c r="F54">
        <f>F48*$B$22</f>
        <v/>
      </c>
      <c r="G54">
        <f>G48*$B$22</f>
        <v/>
      </c>
      <c r="H54">
        <f>H48*$B$22</f>
        <v/>
      </c>
      <c r="I54">
        <f>I48*$B$22</f>
        <v/>
      </c>
      <c r="J54">
        <f>J48*$B$22</f>
        <v/>
      </c>
      <c r="K54">
        <f>K48*$B$22</f>
        <v/>
      </c>
      <c r="L54">
        <f>L48*$B$22</f>
        <v/>
      </c>
      <c r="M54">
        <f>M48*$B$22</f>
        <v/>
      </c>
      <c r="N54">
        <f>SUM(B54:M54)</f>
        <v/>
      </c>
    </row>
    <row r="55">
      <c r="A55" t="inlineStr">
        <is>
          <t>Квалифицировано: SEO</t>
        </is>
      </c>
      <c r="B55">
        <f>B49*$B$24</f>
        <v/>
      </c>
      <c r="C55">
        <f>C49*$B$24</f>
        <v/>
      </c>
      <c r="D55">
        <f>D49*$B$24</f>
        <v/>
      </c>
      <c r="E55">
        <f>E49*$B$24</f>
        <v/>
      </c>
      <c r="F55">
        <f>F49*$B$24</f>
        <v/>
      </c>
      <c r="G55">
        <f>G49*$B$24</f>
        <v/>
      </c>
      <c r="H55">
        <f>H49*$B$24</f>
        <v/>
      </c>
      <c r="I55">
        <f>I49*$B$24</f>
        <v/>
      </c>
      <c r="J55">
        <f>J49*$B$24</f>
        <v/>
      </c>
      <c r="K55">
        <f>K49*$B$24</f>
        <v/>
      </c>
      <c r="L55">
        <f>L49*$B$24</f>
        <v/>
      </c>
      <c r="M55">
        <f>M49*$B$24</f>
        <v/>
      </c>
      <c r="N55">
        <f>SUM(B55:M55)</f>
        <v/>
      </c>
    </row>
    <row r="56">
      <c r="A56" t="inlineStr">
        <is>
          <t>Квалифицировано: агентства</t>
        </is>
      </c>
      <c r="B56">
        <f>B50*$B$26</f>
        <v/>
      </c>
      <c r="C56">
        <f>C50*$B$26</f>
        <v/>
      </c>
      <c r="D56">
        <f>D50*$B$26</f>
        <v/>
      </c>
      <c r="E56">
        <f>E50*$B$26</f>
        <v/>
      </c>
      <c r="F56">
        <f>F50*$B$26</f>
        <v/>
      </c>
      <c r="G56">
        <f>G50*$B$26</f>
        <v/>
      </c>
      <c r="H56">
        <f>H50*$B$26</f>
        <v/>
      </c>
      <c r="I56">
        <f>I50*$B$26</f>
        <v/>
      </c>
      <c r="J56">
        <f>J50*$B$26</f>
        <v/>
      </c>
      <c r="K56">
        <f>K50*$B$26</f>
        <v/>
      </c>
      <c r="L56">
        <f>L50*$B$26</f>
        <v/>
      </c>
      <c r="M56">
        <f>M50*$B$26</f>
        <v/>
      </c>
      <c r="N56">
        <f>SUM(B56:M56)</f>
        <v/>
      </c>
    </row>
    <row r="57">
      <c r="A57" t="inlineStr">
        <is>
          <t>Квалифицировано: партнёры</t>
        </is>
      </c>
      <c r="B57">
        <f>B51*$B$23</f>
        <v/>
      </c>
      <c r="C57">
        <f>C51*$B$23</f>
        <v/>
      </c>
      <c r="D57">
        <f>D51*$B$23</f>
        <v/>
      </c>
      <c r="E57">
        <f>E51*$B$23</f>
        <v/>
      </c>
      <c r="F57">
        <f>F51*$B$23</f>
        <v/>
      </c>
      <c r="G57">
        <f>G51*$B$23</f>
        <v/>
      </c>
      <c r="H57">
        <f>H51*$B$23</f>
        <v/>
      </c>
      <c r="I57">
        <f>I51*$B$23</f>
        <v/>
      </c>
      <c r="J57">
        <f>J51*$B$23</f>
        <v/>
      </c>
      <c r="K57">
        <f>K51*$B$23</f>
        <v/>
      </c>
      <c r="L57">
        <f>L51*$B$23</f>
        <v/>
      </c>
      <c r="M57">
        <f>M51*$B$23</f>
        <v/>
      </c>
      <c r="N57">
        <f>SUM(B57:M57)</f>
        <v/>
      </c>
    </row>
    <row r="58">
      <c r="A58" t="inlineStr">
        <is>
          <t>Квалифицировано: referral</t>
        </is>
      </c>
      <c r="B58" t="n">
        <v>0</v>
      </c>
      <c r="C58">
        <f>B62*$B$17*$B$25</f>
        <v/>
      </c>
      <c r="D58">
        <f>C62*$B$17*$B$25</f>
        <v/>
      </c>
      <c r="E58">
        <f>D62*$B$17*$B$25</f>
        <v/>
      </c>
      <c r="F58">
        <f>E62*$B$17*$B$25</f>
        <v/>
      </c>
      <c r="G58">
        <f>F62*$B$17*$B$25</f>
        <v/>
      </c>
      <c r="H58">
        <f>G62*$B$17*$B$25</f>
        <v/>
      </c>
      <c r="I58">
        <f>H62*$B$17*$B$25</f>
        <v/>
      </c>
      <c r="J58">
        <f>I62*$B$17*$B$25</f>
        <v/>
      </c>
      <c r="K58">
        <f>J62*$B$17*$B$25</f>
        <v/>
      </c>
      <c r="L58">
        <f>K62*$B$17*$B$25</f>
        <v/>
      </c>
      <c r="M58">
        <f>L62*$B$17*$B$25</f>
        <v/>
      </c>
      <c r="N58">
        <f>SUM(B58:M58)</f>
        <v/>
      </c>
    </row>
    <row r="59">
      <c r="A59" s="6" t="inlineStr">
        <is>
          <t>Итого квалифицированных</t>
        </is>
      </c>
      <c r="B59" s="6">
        <f>B53+B54+B55+B56+B57+B58</f>
        <v/>
      </c>
      <c r="C59" s="6">
        <f>C53+C54+C55+C56+C57+C58</f>
        <v/>
      </c>
      <c r="D59" s="6">
        <f>D53+D54+D55+D56+D57+D58</f>
        <v/>
      </c>
      <c r="E59" s="6">
        <f>E53+E54+E55+E56+E57+E58</f>
        <v/>
      </c>
      <c r="F59" s="6">
        <f>F53+F54+F55+F56+F57+F58</f>
        <v/>
      </c>
      <c r="G59" s="6">
        <f>G53+G54+G55+G56+G57+G58</f>
        <v/>
      </c>
      <c r="H59" s="6">
        <f>H53+H54+H55+H56+H57+H58</f>
        <v/>
      </c>
      <c r="I59" s="6">
        <f>I53+I54+I55+I56+I57+I58</f>
        <v/>
      </c>
      <c r="J59" s="6">
        <f>J53+J54+J55+J56+J57+J58</f>
        <v/>
      </c>
      <c r="K59" s="6">
        <f>K53+K54+K55+K56+K57+K58</f>
        <v/>
      </c>
      <c r="L59" s="6">
        <f>L53+L54+L55+L56+L57+L58</f>
        <v/>
      </c>
      <c r="M59" s="6">
        <f>M53+M54+M55+M56+M57+M58</f>
        <v/>
      </c>
      <c r="N59" s="6">
        <f>SUM(B59:M59)</f>
        <v/>
      </c>
    </row>
    <row r="60">
      <c r="A60" t="inlineStr">
        <is>
          <t>Сделки через агентства</t>
        </is>
      </c>
      <c r="B60">
        <f>ROUND(MIN(B59*$B$29,B46*B31),0)</f>
        <v/>
      </c>
      <c r="C60">
        <f>ROUND(MIN(C59*$B$29,C46*C31),0)</f>
        <v/>
      </c>
      <c r="D60">
        <f>ROUND(MIN(D59*$B$29,D46*D31),0)</f>
        <v/>
      </c>
      <c r="E60">
        <f>ROUND(MIN(E59*$B$29,E46*E31),0)</f>
        <v/>
      </c>
      <c r="F60">
        <f>ROUND(MIN(F59*$B$29,F46*F31),0)</f>
        <v/>
      </c>
      <c r="G60">
        <f>ROUND(MIN(G59*$B$29,G46*G31),0)</f>
        <v/>
      </c>
      <c r="H60">
        <f>ROUND(MIN(H59*$B$29,H46*H31),0)</f>
        <v/>
      </c>
      <c r="I60">
        <f>ROUND(MIN(I59*$B$29,I46*I31),0)</f>
        <v/>
      </c>
      <c r="J60">
        <f>ROUND(MIN(J59*$B$29,J46*J31),0)</f>
        <v/>
      </c>
      <c r="K60">
        <f>ROUND(MIN(K59*$B$29,K46*K31),0)</f>
        <v/>
      </c>
      <c r="L60">
        <f>ROUND(MIN(L59*$B$29,L46*L31),0)</f>
        <v/>
      </c>
      <c r="M60">
        <f>ROUND(MIN(M59*$B$29,M46*M31),0)</f>
        <v/>
      </c>
      <c r="N60">
        <f>SUM(B60:M60)</f>
        <v/>
      </c>
    </row>
    <row r="61">
      <c r="A61" t="inlineStr">
        <is>
          <t>Сделки на каталоге IS24</t>
        </is>
      </c>
      <c r="B61">
        <f>ROUND(B59*$B$30,0)</f>
        <v/>
      </c>
      <c r="C61">
        <f>ROUND(C59*$B$30,0)</f>
        <v/>
      </c>
      <c r="D61">
        <f>ROUND(D59*$B$30,0)</f>
        <v/>
      </c>
      <c r="E61">
        <f>ROUND(E59*$B$30,0)</f>
        <v/>
      </c>
      <c r="F61">
        <f>ROUND(F59*$B$30,0)</f>
        <v/>
      </c>
      <c r="G61">
        <f>ROUND(G59*$B$30,0)</f>
        <v/>
      </c>
      <c r="H61">
        <f>ROUND(H59*$B$30,0)</f>
        <v/>
      </c>
      <c r="I61">
        <f>ROUND(I59*$B$30,0)</f>
        <v/>
      </c>
      <c r="J61">
        <f>ROUND(J59*$B$30,0)</f>
        <v/>
      </c>
      <c r="K61">
        <f>ROUND(K59*$B$30,0)</f>
        <v/>
      </c>
      <c r="L61">
        <f>ROUND(L59*$B$30,0)</f>
        <v/>
      </c>
      <c r="M61">
        <f>ROUND(M59*$B$30,0)</f>
        <v/>
      </c>
      <c r="N61">
        <f>SUM(B61:M61)</f>
        <v/>
      </c>
    </row>
    <row r="62">
      <c r="A62" s="6" t="inlineStr">
        <is>
          <t>Сделок всего</t>
        </is>
      </c>
      <c r="B62" s="6">
        <f>B60+B61</f>
        <v/>
      </c>
      <c r="C62" s="6">
        <f>C60+C61</f>
        <v/>
      </c>
      <c r="D62" s="6">
        <f>D60+D61</f>
        <v/>
      </c>
      <c r="E62" s="6">
        <f>E60+E61</f>
        <v/>
      </c>
      <c r="F62" s="6">
        <f>F60+F61</f>
        <v/>
      </c>
      <c r="G62" s="6">
        <f>G60+G61</f>
        <v/>
      </c>
      <c r="H62" s="6">
        <f>H60+H61</f>
        <v/>
      </c>
      <c r="I62" s="6">
        <f>I60+I61</f>
        <v/>
      </c>
      <c r="J62" s="6">
        <f>J60+J61</f>
        <v/>
      </c>
      <c r="K62" s="6">
        <f>K60+K61</f>
        <v/>
      </c>
      <c r="L62" s="6">
        <f>L60+L61</f>
        <v/>
      </c>
      <c r="M62" s="6">
        <f>M60+M61</f>
        <v/>
      </c>
      <c r="N62" s="6">
        <f>SUM(B62:M62)</f>
        <v/>
      </c>
    </row>
    <row r="63">
      <c r="A63" t="inlineStr">
        <is>
          <t>Сделок с B2C fee</t>
        </is>
      </c>
      <c r="B63">
        <f>B61+ROUND(B60*$B$38,0)</f>
        <v/>
      </c>
      <c r="C63">
        <f>C61+ROUND(C60*$B$38,0)</f>
        <v/>
      </c>
      <c r="D63">
        <f>D61+ROUND(D60*$B$38,0)</f>
        <v/>
      </c>
      <c r="E63">
        <f>E61+ROUND(E60*$B$38,0)</f>
        <v/>
      </c>
      <c r="F63">
        <f>F61+ROUND(F60*$B$38,0)</f>
        <v/>
      </c>
      <c r="G63">
        <f>G61+ROUND(G60*$B$38,0)</f>
        <v/>
      </c>
      <c r="H63">
        <f>H61+ROUND(H60*$B$38,0)</f>
        <v/>
      </c>
      <c r="I63">
        <f>I61+ROUND(I60*$B$38,0)</f>
        <v/>
      </c>
      <c r="J63">
        <f>J61+ROUND(J60*$B$38,0)</f>
        <v/>
      </c>
      <c r="K63">
        <f>K61+ROUND(K60*$B$38,0)</f>
        <v/>
      </c>
      <c r="L63">
        <f>L61+ROUND(L60*$B$38,0)</f>
        <v/>
      </c>
      <c r="M63">
        <f>M61+ROUND(M60*$B$38,0)</f>
        <v/>
      </c>
      <c r="N63">
        <f>SUM(B63:M63)</f>
        <v/>
      </c>
    </row>
    <row r="65">
      <c r="A65" s="3" t="inlineStr">
        <is>
          <t>ВЫРУЧКА</t>
        </is>
      </c>
    </row>
    <row r="66">
      <c r="A66" t="inlineStr">
        <is>
          <t>R1+R2: сплит комиссии (аренда/продажа)</t>
        </is>
      </c>
      <c r="B66">
        <f>ROUND(B60*($B$36*$B$34+(1-$B$36)*$B$35),0)</f>
        <v/>
      </c>
      <c r="C66">
        <f>ROUND(C60*($B$36*$B$34+(1-$B$36)*$B$35),0)</f>
        <v/>
      </c>
      <c r="D66">
        <f>ROUND(D60*($B$36*$B$34+(1-$B$36)*$B$35),0)</f>
        <v/>
      </c>
      <c r="E66">
        <f>ROUND(E60*($B$36*$B$34+(1-$B$36)*$B$35),0)</f>
        <v/>
      </c>
      <c r="F66">
        <f>ROUND(F60*($B$36*$B$34+(1-$B$36)*$B$35),0)</f>
        <v/>
      </c>
      <c r="G66">
        <f>ROUND(G60*($B$36*$B$34+(1-$B$36)*$B$35),0)</f>
        <v/>
      </c>
      <c r="H66">
        <f>ROUND(H60*($B$36*$B$34+(1-$B$36)*$B$35),0)</f>
        <v/>
      </c>
      <c r="I66">
        <f>ROUND(I60*($B$36*$B$34+(1-$B$36)*$B$35),0)</f>
        <v/>
      </c>
      <c r="J66">
        <f>ROUND(J60*($B$36*$B$34+(1-$B$36)*$B$35),0)</f>
        <v/>
      </c>
      <c r="K66">
        <f>ROUND(K60*($B$36*$B$34+(1-$B$36)*$B$35),0)</f>
        <v/>
      </c>
      <c r="L66">
        <f>ROUND(L60*($B$36*$B$34+(1-$B$36)*$B$35),0)</f>
        <v/>
      </c>
      <c r="M66">
        <f>ROUND(M60*($B$36*$B$34+(1-$B$36)*$B$35),0)</f>
        <v/>
      </c>
      <c r="N66">
        <f>SUM(B66:M66)</f>
        <v/>
      </c>
    </row>
    <row r="67">
      <c r="A67" t="inlineStr">
        <is>
          <t>R3: B2C fee</t>
        </is>
      </c>
      <c r="B67">
        <f>B63*$B$37</f>
        <v/>
      </c>
      <c r="C67">
        <f>C63*$B$37</f>
        <v/>
      </c>
      <c r="D67">
        <f>D63*$B$37</f>
        <v/>
      </c>
      <c r="E67">
        <f>E63*$B$37</f>
        <v/>
      </c>
      <c r="F67">
        <f>F63*$B$37</f>
        <v/>
      </c>
      <c r="G67">
        <f>G63*$B$37</f>
        <v/>
      </c>
      <c r="H67">
        <f>H63*$B$37</f>
        <v/>
      </c>
      <c r="I67">
        <f>I63*$B$37</f>
        <v/>
      </c>
      <c r="J67">
        <f>J63*$B$37</f>
        <v/>
      </c>
      <c r="K67">
        <f>K63*$B$37</f>
        <v/>
      </c>
      <c r="L67">
        <f>L63*$B$37</f>
        <v/>
      </c>
      <c r="M67">
        <f>M63*$B$37</f>
        <v/>
      </c>
      <c r="N67">
        <f>SUM(B67:M67)</f>
        <v/>
      </c>
    </row>
    <row r="68">
      <c r="A68" t="inlineStr">
        <is>
          <t>R4: upsell</t>
        </is>
      </c>
      <c r="B68">
        <f>B42</f>
        <v/>
      </c>
      <c r="C68">
        <f>C42</f>
        <v/>
      </c>
      <c r="D68">
        <f>D42</f>
        <v/>
      </c>
      <c r="E68">
        <f>E42</f>
        <v/>
      </c>
      <c r="F68">
        <f>F42</f>
        <v/>
      </c>
      <c r="G68">
        <f>G42</f>
        <v/>
      </c>
      <c r="H68">
        <f>H42</f>
        <v/>
      </c>
      <c r="I68">
        <f>I42</f>
        <v/>
      </c>
      <c r="J68">
        <f>J42</f>
        <v/>
      </c>
      <c r="K68">
        <f>K42</f>
        <v/>
      </c>
      <c r="L68">
        <f>L42</f>
        <v/>
      </c>
      <c r="M68">
        <f>M42</f>
        <v/>
      </c>
      <c r="N68">
        <f>SUM(B68:M68)</f>
        <v/>
      </c>
    </row>
    <row r="69">
      <c r="A69" t="inlineStr">
        <is>
          <t>R5: реферал на мебель (Zolak)</t>
        </is>
      </c>
      <c r="B69">
        <f>ROUND(B62*$B$40*$B$41,0)</f>
        <v/>
      </c>
      <c r="C69">
        <f>ROUND(C62*$B$40*$B$41,0)</f>
        <v/>
      </c>
      <c r="D69">
        <f>ROUND(D62*$B$40*$B$41,0)</f>
        <v/>
      </c>
      <c r="E69">
        <f>ROUND(E62*$B$40*$B$41,0)</f>
        <v/>
      </c>
      <c r="F69">
        <f>ROUND(F62*$B$40*$B$41,0)</f>
        <v/>
      </c>
      <c r="G69">
        <f>ROUND(G62*$B$40*$B$41,0)</f>
        <v/>
      </c>
      <c r="H69">
        <f>ROUND(H62*$B$40*$B$41,0)</f>
        <v/>
      </c>
      <c r="I69">
        <f>ROUND(I62*$B$40*$B$41,0)</f>
        <v/>
      </c>
      <c r="J69">
        <f>ROUND(J62*$B$40*$B$41,0)</f>
        <v/>
      </c>
      <c r="K69">
        <f>ROUND(K62*$B$40*$B$41,0)</f>
        <v/>
      </c>
      <c r="L69">
        <f>ROUND(L62*$B$40*$B$41,0)</f>
        <v/>
      </c>
      <c r="M69">
        <f>ROUND(M62*$B$40*$B$41,0)</f>
        <v/>
      </c>
      <c r="N69">
        <f>SUM(B69:M69)</f>
        <v/>
      </c>
    </row>
    <row r="70">
      <c r="A70" s="6" t="inlineStr">
        <is>
          <t>TOTAL REVENUE</t>
        </is>
      </c>
      <c r="B70" s="6">
        <f>B66+B67+B68+B69</f>
        <v/>
      </c>
      <c r="C70" s="6">
        <f>C66+C67+C68+C69</f>
        <v/>
      </c>
      <c r="D70" s="6">
        <f>D66+D67+D68+D69</f>
        <v/>
      </c>
      <c r="E70" s="6">
        <f>E66+E67+E68+E69</f>
        <v/>
      </c>
      <c r="F70" s="6">
        <f>F66+F67+F68+F69</f>
        <v/>
      </c>
      <c r="G70" s="6">
        <f>G66+G67+G68+G69</f>
        <v/>
      </c>
      <c r="H70" s="6">
        <f>H66+H67+H68+H69</f>
        <v/>
      </c>
      <c r="I70" s="6">
        <f>I66+I67+I68+I69</f>
        <v/>
      </c>
      <c r="J70" s="6">
        <f>J66+J67+J68+J69</f>
        <v/>
      </c>
      <c r="K70" s="6">
        <f>K66+K67+K68+K69</f>
        <v/>
      </c>
      <c r="L70" s="6">
        <f>L66+L67+L68+L69</f>
        <v/>
      </c>
      <c r="M70" s="6">
        <f>M66+M67+M68+M69</f>
        <v/>
      </c>
      <c r="N70" s="6">
        <f>SUM(B70:M70)</f>
        <v/>
      </c>
    </row>
    <row r="72">
      <c r="A72" s="3" t="inlineStr">
        <is>
          <t>РАСХОДЫ</t>
        </is>
      </c>
    </row>
    <row r="73">
      <c r="A73" t="inlineStr">
        <is>
          <t>Маркетинг: paid</t>
        </is>
      </c>
      <c r="B73">
        <f>B6</f>
        <v/>
      </c>
      <c r="C73">
        <f>C6</f>
        <v/>
      </c>
      <c r="D73">
        <f>D6</f>
        <v/>
      </c>
      <c r="E73">
        <f>E6</f>
        <v/>
      </c>
      <c r="F73">
        <f>F6</f>
        <v/>
      </c>
      <c r="G73">
        <f>G6</f>
        <v/>
      </c>
      <c r="H73">
        <f>H6</f>
        <v/>
      </c>
      <c r="I73">
        <f>I6</f>
        <v/>
      </c>
      <c r="J73">
        <f>J6</f>
        <v/>
      </c>
      <c r="K73">
        <f>K6</f>
        <v/>
      </c>
      <c r="L73">
        <f>L6</f>
        <v/>
      </c>
      <c r="M73">
        <f>M6</f>
        <v/>
      </c>
      <c r="N73">
        <f>SUM(B73:M73)</f>
        <v/>
      </c>
    </row>
    <row r="74">
      <c r="A74" t="inlineStr">
        <is>
          <t>Контент / SEO</t>
        </is>
      </c>
      <c r="B74" s="8" t="n">
        <v>500</v>
      </c>
      <c r="C74" s="8" t="n">
        <v>500</v>
      </c>
      <c r="D74" s="8" t="n">
        <v>500</v>
      </c>
      <c r="E74" s="8" t="n">
        <v>500</v>
      </c>
      <c r="F74" s="8" t="n">
        <v>500</v>
      </c>
      <c r="G74" s="8" t="n">
        <v>500</v>
      </c>
      <c r="H74" s="8" t="n">
        <v>500</v>
      </c>
      <c r="I74" s="8" t="n">
        <v>500</v>
      </c>
      <c r="J74" s="8" t="n">
        <v>500</v>
      </c>
      <c r="K74" s="8" t="n">
        <v>500</v>
      </c>
      <c r="L74" s="8" t="n">
        <v>500</v>
      </c>
      <c r="M74" s="8" t="n">
        <v>500</v>
      </c>
      <c r="N74">
        <f>SUM(B74:M74)</f>
        <v/>
      </c>
    </row>
    <row r="75">
      <c r="A75" t="inlineStr">
        <is>
          <t>Продажник (BD): базовая ЗП, DE-speaking</t>
        </is>
      </c>
      <c r="B75" s="8" t="n">
        <v>1000</v>
      </c>
      <c r="C75" s="8" t="n">
        <v>1073</v>
      </c>
      <c r="D75" s="8" t="n">
        <v>1145</v>
      </c>
      <c r="E75" s="8" t="n">
        <v>1218</v>
      </c>
      <c r="F75" s="8" t="n">
        <v>1291</v>
      </c>
      <c r="G75" s="8" t="n">
        <v>1364</v>
      </c>
      <c r="H75" s="8" t="n">
        <v>1436</v>
      </c>
      <c r="I75" s="8" t="n">
        <v>1509</v>
      </c>
      <c r="J75" s="8" t="n">
        <v>1582</v>
      </c>
      <c r="K75" s="8" t="n">
        <v>1655</v>
      </c>
      <c r="L75" s="8" t="n">
        <v>1727</v>
      </c>
      <c r="M75" s="8" t="n">
        <v>1800</v>
      </c>
      <c r="N75">
        <f>SUM(B75:M75)</f>
        <v/>
      </c>
    </row>
    <row r="76">
      <c r="A76" t="inlineStr">
        <is>
          <t>Backend-контрактор (доработки, фичи)</t>
        </is>
      </c>
      <c r="B76" s="8" t="n">
        <v>1800</v>
      </c>
      <c r="C76" s="8" t="n">
        <v>1800</v>
      </c>
      <c r="D76" s="8" t="n">
        <v>1800</v>
      </c>
      <c r="E76" s="8" t="n">
        <v>2100</v>
      </c>
      <c r="F76" s="8" t="n">
        <v>2100</v>
      </c>
      <c r="G76" s="8" t="n">
        <v>2100</v>
      </c>
      <c r="H76" s="8" t="n">
        <v>2400</v>
      </c>
      <c r="I76" s="8" t="n">
        <v>2400</v>
      </c>
      <c r="J76" s="8" t="n">
        <v>2400</v>
      </c>
      <c r="K76" s="8" t="n">
        <v>2700</v>
      </c>
      <c r="L76" s="8" t="n">
        <v>2700</v>
      </c>
      <c r="M76" s="8" t="n">
        <v>2700</v>
      </c>
      <c r="N76">
        <f>SUM(B76:M76)</f>
        <v/>
      </c>
    </row>
    <row r="77">
      <c r="A77" t="inlineStr">
        <is>
          <t>Парсер / инфра-мейнтенанс (IS24 anti-bot, Chrome pipeline)</t>
        </is>
      </c>
      <c r="B77" s="8" t="n">
        <v>600</v>
      </c>
      <c r="C77" s="8" t="n">
        <v>600</v>
      </c>
      <c r="D77" s="8" t="n">
        <v>600</v>
      </c>
      <c r="E77" s="8" t="n">
        <v>700</v>
      </c>
      <c r="F77" s="8" t="n">
        <v>700</v>
      </c>
      <c r="G77" s="8" t="n">
        <v>700</v>
      </c>
      <c r="H77" s="8" t="n">
        <v>800</v>
      </c>
      <c r="I77" s="8" t="n">
        <v>800</v>
      </c>
      <c r="J77" s="8" t="n">
        <v>800</v>
      </c>
      <c r="K77" s="8" t="n">
        <v>900</v>
      </c>
      <c r="L77" s="8" t="n">
        <v>900</v>
      </c>
      <c r="M77" s="8" t="n">
        <v>900</v>
      </c>
      <c r="N77">
        <f>SUM(B77:M77)</f>
        <v/>
      </c>
    </row>
    <row r="78">
      <c r="A78" t="inlineStr">
        <is>
          <t>Support/ops (B2C + агентства)</t>
        </is>
      </c>
      <c r="B78" s="8" t="n">
        <v>600</v>
      </c>
      <c r="C78" s="8" t="n">
        <v>600</v>
      </c>
      <c r="D78" s="8" t="n">
        <v>600</v>
      </c>
      <c r="E78" s="8" t="n">
        <v>700</v>
      </c>
      <c r="F78" s="8" t="n">
        <v>700</v>
      </c>
      <c r="G78" s="8" t="n">
        <v>700</v>
      </c>
      <c r="H78" s="8" t="n">
        <v>800</v>
      </c>
      <c r="I78" s="8" t="n">
        <v>800</v>
      </c>
      <c r="J78" s="8" t="n">
        <v>800</v>
      </c>
      <c r="K78" s="8" t="n">
        <v>900</v>
      </c>
      <c r="L78" s="8" t="n">
        <v>900</v>
      </c>
      <c r="M78" s="8" t="n">
        <v>900</v>
      </c>
      <c r="N78">
        <f>SUM(B78:M78)</f>
        <v/>
      </c>
    </row>
    <row r="79">
      <c r="A79" t="inlineStr">
        <is>
          <t>Инфраструктура + AI API</t>
        </is>
      </c>
      <c r="B79" s="8" t="n">
        <v>700</v>
      </c>
      <c r="C79" s="8" t="n">
        <v>750</v>
      </c>
      <c r="D79" s="8" t="n">
        <v>800</v>
      </c>
      <c r="E79" s="8" t="n">
        <v>850</v>
      </c>
      <c r="F79" s="8" t="n">
        <v>900</v>
      </c>
      <c r="G79" s="8" t="n">
        <v>950</v>
      </c>
      <c r="H79" s="8" t="n">
        <v>1000</v>
      </c>
      <c r="I79" s="8" t="n">
        <v>1050</v>
      </c>
      <c r="J79" s="8" t="n">
        <v>1100</v>
      </c>
      <c r="K79" s="8" t="n">
        <v>1150</v>
      </c>
      <c r="L79" s="8" t="n">
        <v>1200</v>
      </c>
      <c r="M79" s="8" t="n">
        <v>1250</v>
      </c>
      <c r="N79">
        <f>SUM(B79:M79)</f>
        <v/>
      </c>
    </row>
    <row r="80">
      <c r="A80" t="inlineStr">
        <is>
          <t>Tools, legal, прочее</t>
        </is>
      </c>
      <c r="B80" s="8" t="n">
        <v>500</v>
      </c>
      <c r="C80" s="8" t="n">
        <v>500</v>
      </c>
      <c r="D80" s="8" t="n">
        <v>500</v>
      </c>
      <c r="E80" s="8" t="n">
        <v>600</v>
      </c>
      <c r="F80" s="8" t="n">
        <v>600</v>
      </c>
      <c r="G80" s="8" t="n">
        <v>600</v>
      </c>
      <c r="H80" s="8" t="n">
        <v>700</v>
      </c>
      <c r="I80" s="8" t="n">
        <v>700</v>
      </c>
      <c r="J80" s="8" t="n">
        <v>700</v>
      </c>
      <c r="K80" s="8" t="n">
        <v>800</v>
      </c>
      <c r="L80" s="8" t="n">
        <v>800</v>
      </c>
      <c r="M80" s="8" t="n">
        <v>800</v>
      </c>
      <c r="N80">
        <f>SUM(B80:M80)</f>
        <v/>
      </c>
    </row>
    <row r="81">
      <c r="A81" t="inlineStr">
        <is>
          <t>Продажник: комиссия (% от R1+R2)</t>
        </is>
      </c>
      <c r="B81">
        <f>ROUND(B66*$B$39,0)</f>
        <v/>
      </c>
      <c r="C81">
        <f>ROUND(C66*$B$39,0)</f>
        <v/>
      </c>
      <c r="D81">
        <f>ROUND(D66*$B$39,0)</f>
        <v/>
      </c>
      <c r="E81">
        <f>ROUND(E66*$B$39,0)</f>
        <v/>
      </c>
      <c r="F81">
        <f>ROUND(F66*$B$39,0)</f>
        <v/>
      </c>
      <c r="G81">
        <f>ROUND(G66*$B$39,0)</f>
        <v/>
      </c>
      <c r="H81">
        <f>ROUND(H66*$B$39,0)</f>
        <v/>
      </c>
      <c r="I81">
        <f>ROUND(I66*$B$39,0)</f>
        <v/>
      </c>
      <c r="J81">
        <f>ROUND(J66*$B$39,0)</f>
        <v/>
      </c>
      <c r="K81">
        <f>ROUND(K66*$B$39,0)</f>
        <v/>
      </c>
      <c r="L81">
        <f>ROUND(L66*$B$39,0)</f>
        <v/>
      </c>
      <c r="M81">
        <f>ROUND(M66*$B$39,0)</f>
        <v/>
      </c>
      <c r="N81">
        <f>SUM(B81:M81)</f>
        <v/>
      </c>
    </row>
    <row r="82">
      <c r="A82" s="6" t="inlineStr">
        <is>
          <t>TOTAL COSTS</t>
        </is>
      </c>
      <c r="B82" s="6">
        <f>B73+B74+B75+B76+B77+B78+B79+B80+B81</f>
        <v/>
      </c>
      <c r="C82" s="6">
        <f>C73+C74+C75+C76+C77+C78+C79+C80+C81</f>
        <v/>
      </c>
      <c r="D82" s="6">
        <f>D73+D74+D75+D76+D77+D78+D79+D80+D81</f>
        <v/>
      </c>
      <c r="E82" s="6">
        <f>E73+E74+E75+E76+E77+E78+E79+E80+E81</f>
        <v/>
      </c>
      <c r="F82" s="6">
        <f>F73+F74+F75+F76+F77+F78+F79+F80+F81</f>
        <v/>
      </c>
      <c r="G82" s="6">
        <f>G73+G74+G75+G76+G77+G78+G79+G80+G81</f>
        <v/>
      </c>
      <c r="H82" s="6">
        <f>H73+H74+H75+H76+H77+H78+H79+H80+H81</f>
        <v/>
      </c>
      <c r="I82" s="6">
        <f>I73+I74+I75+I76+I77+I78+I79+I80+I81</f>
        <v/>
      </c>
      <c r="J82" s="6">
        <f>J73+J74+J75+J76+J77+J78+J79+J80+J81</f>
        <v/>
      </c>
      <c r="K82" s="6">
        <f>K73+K74+K75+K76+K77+K78+K79+K80+K81</f>
        <v/>
      </c>
      <c r="L82" s="6">
        <f>L73+L74+L75+L76+L77+L78+L79+L80+L81</f>
        <v/>
      </c>
      <c r="M82" s="6">
        <f>M73+M74+M75+M76+M77+M78+M79+M80+M81</f>
        <v/>
      </c>
      <c r="N82" s="6">
        <f>SUM(B82:M82)</f>
        <v/>
      </c>
    </row>
    <row r="84">
      <c r="A84" s="6" t="inlineStr">
        <is>
          <t>EBITDA</t>
        </is>
      </c>
      <c r="B84" s="6">
        <f>B70-B82</f>
        <v/>
      </c>
      <c r="C84" s="6">
        <f>C70-C82</f>
        <v/>
      </c>
      <c r="D84" s="6">
        <f>D70-D82</f>
        <v/>
      </c>
      <c r="E84" s="6">
        <f>E70-E82</f>
        <v/>
      </c>
      <c r="F84" s="6">
        <f>F70-F82</f>
        <v/>
      </c>
      <c r="G84" s="6">
        <f>G70-G82</f>
        <v/>
      </c>
      <c r="H84" s="6">
        <f>H70-H82</f>
        <v/>
      </c>
      <c r="I84" s="6">
        <f>I70-I82</f>
        <v/>
      </c>
      <c r="J84" s="6">
        <f>J70-J82</f>
        <v/>
      </c>
      <c r="K84" s="6">
        <f>K70-K82</f>
        <v/>
      </c>
      <c r="L84" s="6">
        <f>L70-L82</f>
        <v/>
      </c>
      <c r="M84" s="6">
        <f>M70-M82</f>
        <v/>
      </c>
      <c r="N84" s="6">
        <f>SUM(B84:M84)</f>
        <v/>
      </c>
    </row>
    <row r="85">
      <c r="A85" t="inlineStr">
        <is>
          <t>Кэш (старт €18,000)</t>
        </is>
      </c>
      <c r="B85">
        <f>18000+B84</f>
        <v/>
      </c>
      <c r="C85">
        <f>B85+C84</f>
        <v/>
      </c>
      <c r="D85">
        <f>C85+D84</f>
        <v/>
      </c>
      <c r="E85">
        <f>D85+E84</f>
        <v/>
      </c>
      <c r="F85">
        <f>E85+F84</f>
        <v/>
      </c>
      <c r="G85">
        <f>F85+G84</f>
        <v/>
      </c>
      <c r="H85">
        <f>G85+H84</f>
        <v/>
      </c>
      <c r="I85">
        <f>H85+I84</f>
        <v/>
      </c>
      <c r="J85">
        <f>I85+J84</f>
        <v/>
      </c>
      <c r="K85">
        <f>J85+K84</f>
        <v/>
      </c>
      <c r="L85">
        <f>K85+L84</f>
        <v/>
      </c>
      <c r="M85">
        <f>L85+M84</f>
        <v/>
      </c>
    </row>
    <row r="87">
      <c r="A87" s="3" t="inlineStr">
        <is>
          <t>ЮНИТ-ЭКОНОМИКА (год)</t>
        </is>
      </c>
    </row>
    <row r="88">
      <c r="A88" t="inlineStr">
        <is>
          <t>CAC на квалифицированного лида, €</t>
        </is>
      </c>
      <c r="B88">
        <f>ROUND(N6/N59,0)</f>
        <v/>
      </c>
    </row>
    <row r="89">
      <c r="A89" t="inlineStr">
        <is>
          <t>CAC на сделку, €</t>
        </is>
      </c>
      <c r="B89">
        <f>ROUND(N6/N62,0)</f>
        <v/>
      </c>
    </row>
    <row r="90">
      <c r="A90" t="inlineStr">
        <is>
          <t>Выручка на агентскую сделку, €</t>
        </is>
      </c>
      <c r="B90">
        <f>ROUND($B$36*$B$34+(1-$B$36)*$B$35,0)</f>
        <v/>
      </c>
    </row>
    <row r="91">
      <c r="A91" t="inlineStr">
        <is>
          <t>LTV / CAC (агентский канал)</t>
        </is>
      </c>
      <c r="B91">
        <f>ROUND(B90/B89,1)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Model</vt:lpstr>
      <vt:lpstr>Budget Apr-Aug (USD)</vt:lpstr>
      <vt:lpstr>BASE - Берлин</vt:lpstr>
      <vt:lpstr>PESSIMISTIC - Берлин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2026-09-09T23:44:50Z</dcterms:created>
  <dcterms:modified xmlns:dcterms="http://purl.org/dc/terms/" xmlns:xsi="http://www.w3.org/2001/XMLSchema-instance" xsi:type="dcterms:W3CDTF">2026-09-09T23:44:50Z</dcterms:modified>
</cp:coreProperties>
</file>