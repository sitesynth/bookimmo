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Model" sheetId="1" state="visible" r:id="rId1"/>
    <sheet xmlns:r="http://schemas.openxmlformats.org/officeDocument/2006/relationships" name="Budget Apr-Aug (USD)" sheetId="2" state="visible" r:id="rId2"/>
    <sheet xmlns:r="http://schemas.openxmlformats.org/officeDocument/2006/relationships" name="BASE — Берлин" sheetId="3" state="visible" r:id="rId3"/>
    <sheet xmlns:r="http://schemas.openxmlformats.org/officeDocument/2006/relationships" name="PESSIMISTIC — Берлин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i val="1"/>
      <color rgb="00666666"/>
      <sz val="10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E8F0E8"/>
      </patternFill>
    </fill>
    <fill>
      <patternFill patternType="solid">
        <fgColor rgb="00DDE8F0"/>
      </patternFill>
    </fill>
    <fill>
      <patternFill patternType="solid">
        <fgColor rgb="00D9E8D9"/>
      </patternFill>
    </fill>
    <fill>
      <patternFill patternType="solid">
        <fgColor rgb="00FFF7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3" fillId="0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2" fillId="0" borderId="0" pivotButton="0" quotePrefix="0" xfId="0"/>
    <xf numFmtId="0" fontId="4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34" customWidth="1" min="1" max="1"/>
    <col width="100" customWidth="1" min="2" max="2"/>
  </cols>
  <sheetData>
    <row r="1">
      <c r="A1" s="1" t="inlineStr">
        <is>
          <t>book.immo — Business Model v2</t>
        </is>
      </c>
      <c r="B1" s="2" t="inlineStr"/>
    </row>
    <row r="2">
      <c r="A2" t="inlineStr">
        <is>
          <t>GEO</t>
        </is>
      </c>
      <c r="B2" s="2" t="inlineStr">
        <is>
          <t>Берлин — стартовый рынок, затем другие города Германии</t>
        </is>
      </c>
    </row>
    <row r="3">
      <c r="A3" t="inlineStr"/>
      <c r="B3" s="2" t="inlineStr"/>
    </row>
    <row r="4">
      <c r="A4" s="3">
        <f>== ТЕЗИС ===</f>
        <v/>
      </c>
      <c r="B4" s="2" t="inlineStr"/>
    </row>
    <row r="5">
      <c r="A5" t="inlineStr">
        <is>
          <t>Эксклюзивы до агрегаторов</t>
        </is>
      </c>
      <c r="B5" s="2" t="inlineStr">
        <is>
          <t>CRM агентства выгружает на IS24 то, что не ушло по своей базе. Хорошие объекты на витрину не доходят. book.immo получает их из CRM до публикации — бесплатно для агентства, за сплит комиссии при сделке.</t>
        </is>
      </c>
    </row>
    <row r="6">
      <c r="A6" t="inlineStr">
        <is>
          <t>Агентствам нужны хорошие лиды</t>
        </is>
      </c>
      <c r="B6" s="2" t="inlineStr">
        <is>
          <t>Мы монетизируем не трафик, а квалификацию: агентство видит только проверенных кандидатов под конкретный эксклюзив.</t>
        </is>
      </c>
    </row>
    <row r="7">
      <c r="A7" t="inlineStr">
        <is>
          <t>Каталог IS24 / Immowelt</t>
        </is>
      </c>
      <c r="B7" s="2" t="inlineStr">
        <is>
          <t>Парсинг — для полноты каталога и SEO-трафика, не для сделок: там остатки.</t>
        </is>
      </c>
    </row>
    <row r="8">
      <c r="A8" t="inlineStr"/>
      <c r="B8" s="2" t="inlineStr"/>
    </row>
    <row r="9">
      <c r="A9" s="3">
        <f>== КАНАЛЫ ЛИДОВ ===</f>
        <v/>
      </c>
      <c r="B9" s="2" t="inlineStr"/>
    </row>
    <row r="10">
      <c r="A10" t="inlineStr">
        <is>
          <t>Paid search (long-tail + EN)</t>
        </is>
      </c>
      <c r="B10" s="2" t="inlineStr">
        <is>
          <t>[квалификация 35%] Только узкие запросы («Wohnung Berlin ohne Schufa», «apartment berlin english») и ретаргетинг. Кран, а не основа.</t>
        </is>
      </c>
    </row>
    <row r="11">
      <c r="A11" t="inlineStr">
        <is>
          <t>Экспат-комьюнити</t>
        </is>
      </c>
      <c r="B11" s="2" t="inlineStr">
        <is>
          <t>[квалификация 22%] FB «Berlin Housing», r/berlin, Telegram, Toytown. Дёшево и горячо, но часто нет немецких документов о доходе — квалификация ~22%. Для них шаг «доведение документов»: Bürgschaft, письмо работодателя, Schufa через нас.</t>
        </is>
      </c>
    </row>
    <row r="12">
      <c r="A12" t="inlineStr">
        <is>
          <t>Relocation-партнёрства (B2B2C)</t>
        </is>
      </c>
      <c r="B12" s="2" t="inlineStr">
        <is>
          <t>[квалификация 100%] HR берлинских стартапов, международные офисы TU/HU/FU, буткемпы. Приходят с датой въезда и подтверждённым работодателем доходом — уже квалифицированы.</t>
        </is>
      </c>
    </row>
    <row r="13">
      <c r="A13" t="inlineStr">
        <is>
          <t>SEO на каталоге IS24/Immowelt</t>
        </is>
      </c>
      <c r="B13" s="2" t="inlineStr">
        <is>
          <t>[квалификация 40%] Страницы район × комнаты × бюджет, DE + EN. Каталог IS24 — для полноты и трафика, не для сделок: туда доходят остатки, не разобранные внутри CRM агентств.</t>
        </is>
      </c>
    </row>
    <row r="14">
      <c r="A14" t="inlineStr">
        <is>
          <t>Реферальная петля</t>
        </is>
      </c>
      <c r="B14" s="2" t="inlineStr">
        <is>
          <t>[квалификация 50%] Каждый заселённый знает пятерых ищущих. Бесплатный месяц мониторинга за приведённого, кто подписал.</t>
        </is>
      </c>
    </row>
    <row r="15">
      <c r="A15" t="inlineStr">
        <is>
          <t>Агентства как канал</t>
        </is>
      </c>
      <c r="B15" s="2" t="inlineStr">
        <is>
          <t>[квалификация 50%] Эксклюзивы из CRM в топе выдачи + агентства шлют свои waiting-list'ы на страницу объекта у нас. Интент на конкретную квартиру.</t>
        </is>
      </c>
    </row>
    <row r="16">
      <c r="A16" t="inlineStr"/>
      <c r="B16" s="2" t="inlineStr"/>
    </row>
    <row r="17">
      <c r="A17" s="3">
        <f>== ВОРОНКА ===</f>
        <v/>
      </c>
      <c r="B17" s="2" t="inlineStr"/>
    </row>
    <row r="18">
      <c r="A18" t="inlineStr">
        <is>
          <t>1. Регистрация через Bewerbungsmappe</t>
        </is>
      </c>
      <c r="B18" s="2" t="inlineStr">
        <is>
          <t>Бесплатный ИИ-пакет документов: доход, состав семьи, дата въезда вводятся, чтобы его получить — квалификация на входе</t>
        </is>
      </c>
    </row>
    <row r="19">
      <c r="A19" t="inlineStr">
        <is>
          <t>2. ИИ-скрининг + доведение документов</t>
        </is>
      </c>
      <c r="B19" s="2" t="inlineStr">
        <is>
          <t>Schufa-готовность, доход ≥ 3× Kaltmiete. Экспатам без немецких справок — Bürgschaft/гарант, письмо работодателя, Schufa через нас</t>
        </is>
      </c>
    </row>
    <row r="20">
      <c r="A20" t="inlineStr">
        <is>
          <t>3. Автозаявки за 5 минут</t>
        </is>
      </c>
      <c r="B20" s="2" t="inlineStr">
        <is>
          <t>Монитор + полный пакет → подача сразу после публикации. На эксклюзивы агентств — приоритетно, на каталог IS24 — как страховка</t>
        </is>
      </c>
    </row>
    <row r="21">
      <c r="A21" t="inlineStr">
        <is>
          <t>4. Передача агентству</t>
        </is>
      </c>
      <c r="B21" s="2" t="inlineStr">
        <is>
          <t>Только квалифицированные и только под конкретный эксклюзив — агентство не тратит время на шум</t>
        </is>
      </c>
    </row>
    <row r="22">
      <c r="A22" t="inlineStr">
        <is>
          <t>5. Сделка</t>
        </is>
      </c>
      <c r="B22" s="2" t="inlineStr">
        <is>
          <t>Подписание через агентство (сплит комиссии). Закрытия на остатках IS24 — редкие, только B2C fee</t>
        </is>
      </c>
    </row>
    <row r="23">
      <c r="A23" t="inlineStr"/>
      <c r="B23" s="2" t="inlineStr"/>
    </row>
    <row r="24">
      <c r="A24" s="3">
        <f>== LEGAL ===</f>
        <v/>
      </c>
      <c r="B24" s="2" t="inlineStr"/>
    </row>
    <row r="25">
      <c r="A25" t="inlineStr">
        <is>
          <t>Wohnungsvermittlungsgesetz</t>
        </is>
      </c>
      <c r="B25" s="2" t="inlineStr">
        <is>
          <t>Нельзя брать с арендатора комиссию за посредничество. B2C fee — плата за софт (автозаявки, мониторинг, документы). Нужен письменный legal opinion до запуска.</t>
        </is>
      </c>
    </row>
    <row r="26">
      <c r="A26" t="inlineStr">
        <is>
          <t>Bestellerprinzip</t>
        </is>
      </c>
      <c r="B26" s="2" t="inlineStr">
        <is>
          <t>Комиссию платит собственник маклеру. Сплит book.immo — из B2B-агентского договора. Легально.</t>
        </is>
      </c>
    </row>
    <row r="27">
      <c r="A27" t="inlineStr">
        <is>
          <t>GDPR</t>
        </is>
      </c>
      <c r="B27" s="2" t="inlineStr">
        <is>
          <t>DPA с каждым агентством; consent клиента на передачу заявки.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1" t="inlineStr">
        <is>
          <t>book.immo — Pre-Launch Budget (Apr–Aug 2026, USD)</t>
        </is>
      </c>
    </row>
    <row r="2">
      <c r="A2" s="4" t="inlineStr">
        <is>
          <t>Инвестиция $50,000: $30,000 на запуск, $20,000 резерв.</t>
        </is>
      </c>
    </row>
    <row r="4">
      <c r="A4" s="5" t="inlineStr">
        <is>
          <t>Category</t>
        </is>
      </c>
      <c r="B4" s="5" t="inlineStr">
        <is>
          <t>Apr</t>
        </is>
      </c>
      <c r="C4" s="5" t="inlineStr">
        <is>
          <t>May</t>
        </is>
      </c>
      <c r="D4" s="5" t="inlineStr">
        <is>
          <t>Jun</t>
        </is>
      </c>
      <c r="E4" s="5" t="inlineStr">
        <is>
          <t>Jul</t>
        </is>
      </c>
      <c r="F4" s="5" t="inlineStr">
        <is>
          <t>Aug</t>
        </is>
      </c>
      <c r="G4" s="5" t="inlineStr">
        <is>
          <t>TOTAL</t>
        </is>
      </c>
    </row>
    <row r="5">
      <c r="A5" t="inlineStr">
        <is>
          <t>Разработка (фронт / бэк / парсер)</t>
        </is>
      </c>
      <c r="B5" t="n">
        <v>2800</v>
      </c>
      <c r="C5" t="n">
        <v>2800</v>
      </c>
      <c r="D5" t="n">
        <v>2800</v>
      </c>
      <c r="E5" t="n">
        <v>2800</v>
      </c>
      <c r="F5" t="n">
        <v>2800</v>
      </c>
      <c r="G5">
        <f>SUM(B5:F5)</f>
        <v/>
      </c>
    </row>
    <row r="6">
      <c r="A6" t="inlineStr">
        <is>
          <t>AI / LLM API (автоматизация, письма)</t>
        </is>
      </c>
      <c r="B6" t="n">
        <v>200</v>
      </c>
      <c r="C6" t="n">
        <v>250</v>
      </c>
      <c r="D6" t="n">
        <v>300</v>
      </c>
      <c r="E6" t="n">
        <v>350</v>
      </c>
      <c r="F6" t="n">
        <v>400</v>
      </c>
      <c r="G6">
        <f>SUM(B6:F6)</f>
        <v/>
      </c>
    </row>
    <row r="7">
      <c r="A7" t="inlineStr">
        <is>
          <t>Дизайн / UX (Framer, ассеты, брендинг)</t>
        </is>
      </c>
      <c r="B7" t="n">
        <v>800</v>
      </c>
      <c r="C7" t="n">
        <v>700</v>
      </c>
      <c r="D7" t="n">
        <v>500</v>
      </c>
      <c r="E7" t="n">
        <v>300</v>
      </c>
      <c r="F7" t="n">
        <v>200</v>
      </c>
      <c r="G7">
        <f>SUM(B7:F7)</f>
        <v/>
      </c>
    </row>
    <row r="8">
      <c r="A8" t="inlineStr">
        <is>
          <t>Инфраструктура (Vercel, серверы, CMS, Mapbox, Resend)</t>
        </is>
      </c>
      <c r="B8" t="n">
        <v>350</v>
      </c>
      <c r="C8" t="n">
        <v>380</v>
      </c>
      <c r="D8" t="n">
        <v>400</v>
      </c>
      <c r="E8" t="n">
        <v>420</v>
      </c>
      <c r="F8" t="n">
        <v>450</v>
      </c>
      <c r="G8">
        <f>SUM(B8:F8)</f>
        <v/>
      </c>
    </row>
    <row r="9">
      <c r="A9" t="inlineStr">
        <is>
          <t>Data-инфраструктура (прокси, Chrome-ферма, capsolver)</t>
        </is>
      </c>
      <c r="B9" t="n">
        <v>250</v>
      </c>
      <c r="C9" t="n">
        <v>280</v>
      </c>
      <c r="D9" t="n">
        <v>300</v>
      </c>
      <c r="E9" t="n">
        <v>320</v>
      </c>
      <c r="F9" t="n">
        <v>350</v>
      </c>
      <c r="G9">
        <f>SUM(B9:F9)</f>
        <v/>
      </c>
    </row>
    <row r="10">
      <c r="A10" t="inlineStr">
        <is>
          <t>Tools &amp; Software</t>
        </is>
      </c>
      <c r="B10" t="n">
        <v>200</v>
      </c>
      <c r="C10" t="n">
        <v>200</v>
      </c>
      <c r="D10" t="n">
        <v>200</v>
      </c>
      <c r="E10" t="n">
        <v>200</v>
      </c>
      <c r="F10" t="n">
        <v>200</v>
      </c>
      <c r="G10">
        <f>SUM(B10:F10)</f>
        <v/>
      </c>
    </row>
    <row r="11">
      <c r="A11" t="inlineStr">
        <is>
          <t>Legal и юрлицо (договоры, DPA-шаблоны)</t>
        </is>
      </c>
      <c r="B11" t="n">
        <v>1200</v>
      </c>
      <c r="C11" t="n">
        <v>400</v>
      </c>
      <c r="D11" t="n">
        <v>300</v>
      </c>
      <c r="E11" t="n">
        <v>300</v>
      </c>
      <c r="F11" t="n">
        <v>300</v>
      </c>
      <c r="G11">
        <f>SUM(B11:F11)</f>
        <v/>
      </c>
    </row>
    <row r="12">
      <c r="A12" t="inlineStr">
        <is>
          <t>Домен и товарный знак (book.immo, TM)</t>
        </is>
      </c>
      <c r="B12" t="n">
        <v>900</v>
      </c>
      <c r="C12" t="n">
        <v>0</v>
      </c>
      <c r="D12" t="n">
        <v>0</v>
      </c>
      <c r="E12" t="n">
        <v>100</v>
      </c>
      <c r="F12" t="n">
        <v>0</v>
      </c>
      <c r="G12">
        <f>SUM(B12:F12)</f>
        <v/>
      </c>
    </row>
    <row r="13">
      <c r="A13" t="inlineStr">
        <is>
          <t>Pre-launch маркетинг (лендинг-тесты, SEO)</t>
        </is>
      </c>
      <c r="B13" t="n">
        <v>100</v>
      </c>
      <c r="C13" t="n">
        <v>200</v>
      </c>
      <c r="D13" t="n">
        <v>400</v>
      </c>
      <c r="E13" t="n">
        <v>600</v>
      </c>
      <c r="F13" t="n">
        <v>700</v>
      </c>
      <c r="G13">
        <f>SUM(B13:F13)</f>
        <v/>
      </c>
    </row>
    <row r="14">
      <c r="A14" t="inlineStr">
        <is>
          <t>Прочее / буфер</t>
        </is>
      </c>
      <c r="B14" t="n">
        <v>200</v>
      </c>
      <c r="C14" t="n">
        <v>290</v>
      </c>
      <c r="D14" t="n">
        <v>300</v>
      </c>
      <c r="E14" t="n">
        <v>310</v>
      </c>
      <c r="F14" t="n">
        <v>320</v>
      </c>
      <c r="G14">
        <f>SUM(B14:F14)</f>
        <v/>
      </c>
    </row>
    <row r="15">
      <c r="A15" s="6" t="inlineStr">
        <is>
          <t>TOTAL</t>
        </is>
      </c>
      <c r="B15" s="6">
        <f>SUM(B5:B14)</f>
        <v/>
      </c>
      <c r="C15" s="6">
        <f>SUM(C5:C14)</f>
        <v/>
      </c>
      <c r="D15" s="6">
        <f>SUM(D5:D14)</f>
        <v/>
      </c>
      <c r="E15" s="6">
        <f>SUM(E5:E14)</f>
        <v/>
      </c>
      <c r="F15" s="6">
        <f>SUM(F5:F14)</f>
        <v/>
      </c>
      <c r="G15" s="6">
        <f>SUM(G5:G14)</f>
        <v/>
      </c>
    </row>
    <row r="17">
      <c r="A17" s="7" t="inlineStr">
        <is>
          <t>Что построено:</t>
        </is>
      </c>
    </row>
    <row r="18">
      <c r="A18" t="inlineStr">
        <is>
          <t>• Сайт book.immo (React SPA, 5 языков, SEO-prerender, поиск по гео)</t>
        </is>
      </c>
    </row>
    <row r="19">
      <c r="A19" t="inlineStr">
        <is>
          <t>• Собственный бэкенд: PostgreSQL + API (auth, избранное, заявки) — без vendor lock-in</t>
        </is>
      </c>
    </row>
    <row r="20">
      <c r="A20" t="inlineStr">
        <is>
          <t>• Парсер ImmoScout24/Immowelt + ИИ-контакт-автоматизация (Chrome-extension pipeline)</t>
        </is>
      </c>
    </row>
    <row r="21">
      <c r="A21" t="inlineStr">
        <is>
          <t>• CMS (Directus) + email-инфраструктура (Resend) + Telegram-интеграция</t>
        </is>
      </c>
    </row>
    <row r="22">
      <c r="A22" t="inlineStr">
        <is>
          <t>• ИИ-автоподбор и автозаявки (MVP)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81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A1" s="1" t="inlineStr">
        <is>
          <t>book.immo — BASE, Берлин, запуск Sep 2026 (EUR)</t>
        </is>
      </c>
    </row>
    <row r="2">
      <c r="A2" s="4" t="inlineStr">
        <is>
          <t>Жёлтые ячейки — входные драйверы (можно менять). Остальное считается формулами.</t>
        </is>
      </c>
    </row>
    <row r="4">
      <c r="A4" s="5" t="inlineStr"/>
      <c r="B4" s="5" t="inlineStr">
        <is>
          <t>Sep</t>
        </is>
      </c>
      <c r="C4" s="5" t="inlineStr">
        <is>
          <t>Oct</t>
        </is>
      </c>
      <c r="D4" s="5" t="inlineStr">
        <is>
          <t>Nov</t>
        </is>
      </c>
      <c r="E4" s="5" t="inlineStr">
        <is>
          <t>Dec</t>
        </is>
      </c>
      <c r="F4" s="5" t="inlineStr">
        <is>
          <t>Jan</t>
        </is>
      </c>
      <c r="G4" s="5" t="inlineStr">
        <is>
          <t>Feb</t>
        </is>
      </c>
      <c r="H4" s="5" t="inlineStr">
        <is>
          <t>Mar</t>
        </is>
      </c>
      <c r="I4" s="5" t="inlineStr">
        <is>
          <t>Apr</t>
        </is>
      </c>
      <c r="J4" s="5" t="inlineStr">
        <is>
          <t>May</t>
        </is>
      </c>
      <c r="K4" s="5" t="inlineStr">
        <is>
          <t>Jun</t>
        </is>
      </c>
      <c r="L4" s="5" t="inlineStr">
        <is>
          <t>Jul</t>
        </is>
      </c>
      <c r="M4" s="5" t="inlineStr">
        <is>
          <t>Aug</t>
        </is>
      </c>
      <c r="N4" s="5" t="inlineStr">
        <is>
          <t>YEAR</t>
        </is>
      </c>
    </row>
    <row r="5">
      <c r="A5" s="3" t="inlineStr">
        <is>
          <t>ДРАЙВЕРЫ — каналы (входные)</t>
        </is>
      </c>
    </row>
    <row r="6">
      <c r="A6" t="inlineStr">
        <is>
          <t>Paid: бюджет, €/мес</t>
        </is>
      </c>
      <c r="B6" s="8" t="n">
        <v>2000</v>
      </c>
      <c r="C6" s="8" t="n">
        <v>2200</v>
      </c>
      <c r="D6" s="8" t="n">
        <v>2500</v>
      </c>
      <c r="E6" s="8" t="n">
        <v>2500</v>
      </c>
      <c r="F6" s="8" t="n">
        <v>3000</v>
      </c>
      <c r="G6" s="8" t="n">
        <v>3000</v>
      </c>
      <c r="H6" s="8" t="n">
        <v>3500</v>
      </c>
      <c r="I6" s="8" t="n">
        <v>3500</v>
      </c>
      <c r="J6" s="8" t="n">
        <v>4000</v>
      </c>
      <c r="K6" s="8" t="n">
        <v>4000</v>
      </c>
      <c r="L6" s="8" t="n">
        <v>4500</v>
      </c>
      <c r="M6" s="8" t="n">
        <v>4500</v>
      </c>
      <c r="N6">
        <f>SUM(B6:M6)</f>
        <v/>
      </c>
    </row>
    <row r="7">
      <c r="A7" t="inlineStr">
        <is>
          <t>Paid: CPC, €</t>
        </is>
      </c>
      <c r="B7" s="8" t="n">
        <v>1.8</v>
      </c>
    </row>
    <row r="8">
      <c r="A8" t="inlineStr">
        <is>
          <t>Paid: визит → регистрация</t>
        </is>
      </c>
      <c r="B8" s="8" t="n">
        <v>0.03</v>
      </c>
    </row>
    <row r="9">
      <c r="A9" t="inlineStr">
        <is>
          <t>Комьюнити: регистраций/мес</t>
        </is>
      </c>
      <c r="B9" s="8" t="n">
        <v>120</v>
      </c>
      <c r="C9" s="8" t="n">
        <v>200</v>
      </c>
      <c r="D9" s="8" t="n">
        <v>300</v>
      </c>
      <c r="E9" s="8" t="n">
        <v>400</v>
      </c>
      <c r="F9" s="8" t="n">
        <v>480</v>
      </c>
      <c r="G9" s="8" t="n">
        <v>560</v>
      </c>
      <c r="H9" s="8" t="n">
        <v>620</v>
      </c>
      <c r="I9" s="8" t="n">
        <v>680</v>
      </c>
      <c r="J9" s="8" t="n">
        <v>740</v>
      </c>
      <c r="K9" s="8" t="n">
        <v>800</v>
      </c>
      <c r="L9" s="8" t="n">
        <v>850</v>
      </c>
      <c r="M9" s="8" t="n">
        <v>900</v>
      </c>
      <c r="N9">
        <f>SUM(B9:M9)</f>
        <v/>
      </c>
    </row>
    <row r="10">
      <c r="A10" t="inlineStr">
        <is>
          <t>Партнёры (HR / вузы), шт.</t>
        </is>
      </c>
      <c r="B10" s="8" t="n">
        <v>0</v>
      </c>
      <c r="C10" s="8" t="n">
        <v>0</v>
      </c>
      <c r="D10" s="8" t="n">
        <v>1</v>
      </c>
      <c r="E10" s="8" t="n">
        <v>1</v>
      </c>
      <c r="F10" s="8" t="n">
        <v>2</v>
      </c>
      <c r="G10" s="8" t="n">
        <v>2</v>
      </c>
      <c r="H10" s="8" t="n">
        <v>3</v>
      </c>
      <c r="I10" s="8" t="n">
        <v>3</v>
      </c>
      <c r="J10" s="8" t="n">
        <v>4</v>
      </c>
      <c r="K10" s="8" t="n">
        <v>4</v>
      </c>
      <c r="L10" s="8" t="n">
        <v>5</v>
      </c>
      <c r="M10" s="8" t="n">
        <v>5</v>
      </c>
    </row>
    <row r="11">
      <c r="A11" t="inlineStr">
        <is>
          <t>Лидов на партнёра / мес</t>
        </is>
      </c>
      <c r="B11" s="8" t="n">
        <v>15</v>
      </c>
    </row>
    <row r="12">
      <c r="A12" t="inlineStr">
        <is>
          <t>SEO: визитов/мес</t>
        </is>
      </c>
      <c r="B12" s="8" t="n">
        <v>800</v>
      </c>
      <c r="C12" s="8" t="n">
        <v>1000</v>
      </c>
      <c r="D12" s="8" t="n">
        <v>1300</v>
      </c>
      <c r="E12" s="8" t="n">
        <v>1700</v>
      </c>
      <c r="F12" s="8" t="n">
        <v>2200</v>
      </c>
      <c r="G12" s="8" t="n">
        <v>2800</v>
      </c>
      <c r="H12" s="8" t="n">
        <v>3400</v>
      </c>
      <c r="I12" s="8" t="n">
        <v>4000</v>
      </c>
      <c r="J12" s="8" t="n">
        <v>4600</v>
      </c>
      <c r="K12" s="8" t="n">
        <v>5200</v>
      </c>
      <c r="L12" s="8" t="n">
        <v>5800</v>
      </c>
      <c r="M12" s="8" t="n">
        <v>6400</v>
      </c>
      <c r="N12">
        <f>SUM(B12:M12)</f>
        <v/>
      </c>
    </row>
    <row r="13">
      <c r="A13" t="inlineStr">
        <is>
          <t>SEO: визит → регистрация</t>
        </is>
      </c>
      <c r="B13" s="8" t="n">
        <v>0.04</v>
      </c>
    </row>
    <row r="14">
      <c r="A14" t="inlineStr">
        <is>
          <t>Активные агентства (накопл.)</t>
        </is>
      </c>
      <c r="B14" s="8" t="n">
        <v>3</v>
      </c>
      <c r="C14" s="8" t="n">
        <v>3</v>
      </c>
      <c r="D14" s="8" t="n">
        <v>4</v>
      </c>
      <c r="E14" s="8" t="n">
        <v>5</v>
      </c>
      <c r="F14" s="8" t="n">
        <v>6</v>
      </c>
      <c r="G14" s="8" t="n">
        <v>7</v>
      </c>
      <c r="H14" s="8" t="n">
        <v>8</v>
      </c>
      <c r="I14" s="8" t="n">
        <v>9</v>
      </c>
      <c r="J14" s="8" t="n">
        <v>10</v>
      </c>
      <c r="K14" s="8" t="n">
        <v>11</v>
      </c>
      <c r="L14" s="8" t="n">
        <v>12</v>
      </c>
      <c r="M14" s="8" t="n">
        <v>13</v>
      </c>
    </row>
    <row r="15">
      <c r="A15" t="inlineStr">
        <is>
          <t>Визитов от агентства / мес</t>
        </is>
      </c>
      <c r="B15" s="8" t="n">
        <v>150</v>
      </c>
    </row>
    <row r="16">
      <c r="A16" t="inlineStr">
        <is>
          <t>Агентства: визит → регистрация</t>
        </is>
      </c>
      <c r="B16" s="8" t="n">
        <v>0.08</v>
      </c>
    </row>
    <row r="17">
      <c r="A17" t="inlineStr">
        <is>
          <t>Referral: лидов на сделку прошлого месяца</t>
        </is>
      </c>
      <c r="B17" s="8" t="n">
        <v>0.2</v>
      </c>
    </row>
    <row r="19">
      <c r="A19" s="3" t="inlineStr">
        <is>
          <t>КВАЛИФИКАЦИЯ по каналу (доля регистраций, прошедших скрининг)</t>
        </is>
      </c>
    </row>
    <row r="20">
      <c r="A20" t="inlineStr">
        <is>
          <t xml:space="preserve">  Paid search (long-tail + EN)</t>
        </is>
      </c>
      <c r="B20" s="8" t="n">
        <v>0.35</v>
      </c>
    </row>
    <row r="21">
      <c r="A21" t="inlineStr">
        <is>
          <t xml:space="preserve">  Экспат-комьюнити</t>
        </is>
      </c>
      <c r="B21" s="8" t="n">
        <v>0.22</v>
      </c>
    </row>
    <row r="22">
      <c r="A22" t="inlineStr">
        <is>
          <t xml:space="preserve">  Relocation-партнёрства (B2B2C)</t>
        </is>
      </c>
      <c r="B22" s="8" t="n">
        <v>1</v>
      </c>
    </row>
    <row r="23">
      <c r="A23" t="inlineStr">
        <is>
          <t xml:space="preserve">  SEO на каталоге IS24/Immowelt</t>
        </is>
      </c>
      <c r="B23" s="8" t="n">
        <v>0.4</v>
      </c>
    </row>
    <row r="24">
      <c r="A24" t="inlineStr">
        <is>
          <t xml:space="preserve">  Реферальная петля</t>
        </is>
      </c>
      <c r="B24" s="8" t="n">
        <v>0.5</v>
      </c>
    </row>
    <row r="25">
      <c r="A25" t="inlineStr">
        <is>
          <t xml:space="preserve">  Агентства как канал</t>
        </is>
      </c>
      <c r="B25" s="8" t="n">
        <v>0.5</v>
      </c>
    </row>
    <row r="27">
      <c r="A27" s="3" t="inlineStr">
        <is>
          <t>КОНВЕРСИЯ в сделку</t>
        </is>
      </c>
    </row>
    <row r="28">
      <c r="A28" t="inlineStr">
        <is>
          <t>Квалифицированный → сделка через агентство</t>
        </is>
      </c>
      <c r="B28" s="8" t="n">
        <v>0.12</v>
      </c>
    </row>
    <row r="29">
      <c r="A29" t="inlineStr">
        <is>
          <t>Квалифицированный → сделка на каталоге IS24</t>
        </is>
      </c>
      <c r="B29" s="8" t="n">
        <v>0.04</v>
      </c>
    </row>
    <row r="30">
      <c r="A30" t="inlineStr">
        <is>
          <t>Потолок сделок на агентство / мес</t>
        </is>
      </c>
      <c r="B30" s="8" t="n">
        <v>1</v>
      </c>
      <c r="C30" s="8" t="n">
        <v>1</v>
      </c>
      <c r="D30" s="8" t="n">
        <v>1.5</v>
      </c>
      <c r="E30" s="8" t="n">
        <v>1.5</v>
      </c>
      <c r="F30" s="8" t="n">
        <v>2</v>
      </c>
      <c r="G30" s="8" t="n">
        <v>2</v>
      </c>
      <c r="H30" s="8" t="n">
        <v>2.5</v>
      </c>
      <c r="I30" s="8" t="n">
        <v>2.5</v>
      </c>
      <c r="J30" s="8" t="n">
        <v>3</v>
      </c>
      <c r="K30" s="8" t="n">
        <v>3</v>
      </c>
      <c r="L30" s="8" t="n">
        <v>3</v>
      </c>
      <c r="M30" s="8" t="n">
        <v>3</v>
      </c>
    </row>
    <row r="32">
      <c r="A32" s="3" t="inlineStr">
        <is>
          <t>UNIT ECONOMICS</t>
        </is>
      </c>
    </row>
    <row r="33">
      <c r="A33" t="inlineStr">
        <is>
          <t>Сплит аренда, €/сделка</t>
        </is>
      </c>
      <c r="B33" s="8" t="n">
        <v>605</v>
      </c>
    </row>
    <row r="34">
      <c r="A34" t="inlineStr">
        <is>
          <t>Сплит продажа, €/сделка</t>
        </is>
      </c>
      <c r="B34" s="8" t="n">
        <v>2400</v>
      </c>
    </row>
    <row r="35">
      <c r="A35" t="inlineStr">
        <is>
          <t>Доля аренды</t>
        </is>
      </c>
      <c r="B35" s="8" t="n">
        <v>0.85</v>
      </c>
    </row>
    <row r="36">
      <c r="A36" t="inlineStr">
        <is>
          <t>B2C fee, €</t>
        </is>
      </c>
      <c r="B36" s="8" t="n">
        <v>149</v>
      </c>
    </row>
    <row r="37">
      <c r="A37" t="inlineStr">
        <is>
          <t>Доля агентских сделок, платящих B2C fee</t>
        </is>
      </c>
      <c r="B37" s="8" t="n">
        <v>0.5</v>
      </c>
    </row>
    <row r="38">
      <c r="A38" t="inlineStr">
        <is>
          <t>Upsell агентствам, €/мес</t>
        </is>
      </c>
      <c r="B38" s="8" t="n">
        <v>0</v>
      </c>
      <c r="C38" s="8" t="n">
        <v>0</v>
      </c>
      <c r="D38" s="8" t="n">
        <v>0</v>
      </c>
      <c r="E38" s="8" t="n">
        <v>0</v>
      </c>
      <c r="F38" s="8" t="n">
        <v>0</v>
      </c>
      <c r="G38" s="8" t="n">
        <v>0</v>
      </c>
      <c r="H38" s="8" t="n">
        <v>0</v>
      </c>
      <c r="I38" s="8" t="n">
        <v>300</v>
      </c>
      <c r="J38" s="8" t="n">
        <v>500</v>
      </c>
      <c r="K38" s="8" t="n">
        <v>700</v>
      </c>
      <c r="L38" s="8" t="n">
        <v>900</v>
      </c>
      <c r="M38" s="8" t="n">
        <v>1100</v>
      </c>
      <c r="N38">
        <f>SUM(B38:M38)</f>
        <v/>
      </c>
    </row>
    <row r="40">
      <c r="A40" s="3" t="inlineStr">
        <is>
          <t>ВОРОНКА</t>
        </is>
      </c>
    </row>
    <row r="41">
      <c r="A41" t="inlineStr">
        <is>
          <t>Регистрации: paid</t>
        </is>
      </c>
      <c r="B41">
        <f>B6/$B$7*$B$8</f>
        <v/>
      </c>
      <c r="C41">
        <f>C6/$B$7*$B$8</f>
        <v/>
      </c>
      <c r="D41">
        <f>D6/$B$7*$B$8</f>
        <v/>
      </c>
      <c r="E41">
        <f>E6/$B$7*$B$8</f>
        <v/>
      </c>
      <c r="F41">
        <f>F6/$B$7*$B$8</f>
        <v/>
      </c>
      <c r="G41">
        <f>G6/$B$7*$B$8</f>
        <v/>
      </c>
      <c r="H41">
        <f>H6/$B$7*$B$8</f>
        <v/>
      </c>
      <c r="I41">
        <f>I6/$B$7*$B$8</f>
        <v/>
      </c>
      <c r="J41">
        <f>J6/$B$7*$B$8</f>
        <v/>
      </c>
      <c r="K41">
        <f>K6/$B$7*$B$8</f>
        <v/>
      </c>
      <c r="L41">
        <f>L6/$B$7*$B$8</f>
        <v/>
      </c>
      <c r="M41">
        <f>M6/$B$7*$B$8</f>
        <v/>
      </c>
      <c r="N41">
        <f>SUM(B41:M41)</f>
        <v/>
      </c>
    </row>
    <row r="42">
      <c r="A42" t="inlineStr">
        <is>
          <t>Регистрации: комьюнити</t>
        </is>
      </c>
      <c r="B42">
        <f>B9</f>
        <v/>
      </c>
      <c r="C42">
        <f>C9</f>
        <v/>
      </c>
      <c r="D42">
        <f>D9</f>
        <v/>
      </c>
      <c r="E42">
        <f>E9</f>
        <v/>
      </c>
      <c r="F42">
        <f>F9</f>
        <v/>
      </c>
      <c r="G42">
        <f>G9</f>
        <v/>
      </c>
      <c r="H42">
        <f>H9</f>
        <v/>
      </c>
      <c r="I42">
        <f>I9</f>
        <v/>
      </c>
      <c r="J42">
        <f>J9</f>
        <v/>
      </c>
      <c r="K42">
        <f>K9</f>
        <v/>
      </c>
      <c r="L42">
        <f>L9</f>
        <v/>
      </c>
      <c r="M42">
        <f>M9</f>
        <v/>
      </c>
      <c r="N42">
        <f>SUM(B42:M42)</f>
        <v/>
      </c>
    </row>
    <row r="43">
      <c r="A43" t="inlineStr">
        <is>
          <t>Регистрации: SEO</t>
        </is>
      </c>
      <c r="B43">
        <f>B12*$B$13</f>
        <v/>
      </c>
      <c r="C43">
        <f>C12*$B$13</f>
        <v/>
      </c>
      <c r="D43">
        <f>D12*$B$13</f>
        <v/>
      </c>
      <c r="E43">
        <f>E12*$B$13</f>
        <v/>
      </c>
      <c r="F43">
        <f>F12*$B$13</f>
        <v/>
      </c>
      <c r="G43">
        <f>G12*$B$13</f>
        <v/>
      </c>
      <c r="H43">
        <f>H12*$B$13</f>
        <v/>
      </c>
      <c r="I43">
        <f>I12*$B$13</f>
        <v/>
      </c>
      <c r="J43">
        <f>J12*$B$13</f>
        <v/>
      </c>
      <c r="K43">
        <f>K12*$B$13</f>
        <v/>
      </c>
      <c r="L43">
        <f>L12*$B$13</f>
        <v/>
      </c>
      <c r="M43">
        <f>M12*$B$13</f>
        <v/>
      </c>
      <c r="N43">
        <f>SUM(B43:M43)</f>
        <v/>
      </c>
    </row>
    <row r="44">
      <c r="A44" t="inlineStr">
        <is>
          <t>Регистрации: агентства</t>
        </is>
      </c>
      <c r="B44">
        <f>B14*$B$15*$B$16</f>
        <v/>
      </c>
      <c r="C44">
        <f>C14*$B$15*$B$16</f>
        <v/>
      </c>
      <c r="D44">
        <f>D14*$B$15*$B$16</f>
        <v/>
      </c>
      <c r="E44">
        <f>E14*$B$15*$B$16</f>
        <v/>
      </c>
      <c r="F44">
        <f>F14*$B$15*$B$16</f>
        <v/>
      </c>
      <c r="G44">
        <f>G14*$B$15*$B$16</f>
        <v/>
      </c>
      <c r="H44">
        <f>H14*$B$15*$B$16</f>
        <v/>
      </c>
      <c r="I44">
        <f>I14*$B$15*$B$16</f>
        <v/>
      </c>
      <c r="J44">
        <f>J14*$B$15*$B$16</f>
        <v/>
      </c>
      <c r="K44">
        <f>K14*$B$15*$B$16</f>
        <v/>
      </c>
      <c r="L44">
        <f>L14*$B$15*$B$16</f>
        <v/>
      </c>
      <c r="M44">
        <f>M14*$B$15*$B$16</f>
        <v/>
      </c>
      <c r="N44">
        <f>SUM(B44:M44)</f>
        <v/>
      </c>
    </row>
    <row r="45">
      <c r="A45" t="inlineStr">
        <is>
          <t>Лиды: партнёры (уже квалифицированы)</t>
        </is>
      </c>
      <c r="B45">
        <f>B10*$B$11</f>
        <v/>
      </c>
      <c r="C45">
        <f>C10*$B$11</f>
        <v/>
      </c>
      <c r="D45">
        <f>D10*$B$11</f>
        <v/>
      </c>
      <c r="E45">
        <f>E10*$B$11</f>
        <v/>
      </c>
      <c r="F45">
        <f>F10*$B$11</f>
        <v/>
      </c>
      <c r="G45">
        <f>G10*$B$11</f>
        <v/>
      </c>
      <c r="H45">
        <f>H10*$B$11</f>
        <v/>
      </c>
      <c r="I45">
        <f>I10*$B$11</f>
        <v/>
      </c>
      <c r="J45">
        <f>J10*$B$11</f>
        <v/>
      </c>
      <c r="K45">
        <f>K10*$B$11</f>
        <v/>
      </c>
      <c r="L45">
        <f>L10*$B$11</f>
        <v/>
      </c>
      <c r="M45">
        <f>M10*$B$11</f>
        <v/>
      </c>
      <c r="N45">
        <f>SUM(B45:M45)</f>
        <v/>
      </c>
    </row>
    <row r="46">
      <c r="A46" s="6" t="inlineStr">
        <is>
          <t>Итого регистраций</t>
        </is>
      </c>
      <c r="B46" s="6">
        <f>B41+B42+B43+B44+B45</f>
        <v/>
      </c>
      <c r="C46" s="6">
        <f>C41+C42+C43+C44+C45</f>
        <v/>
      </c>
      <c r="D46" s="6">
        <f>D41+D42+D43+D44+D45</f>
        <v/>
      </c>
      <c r="E46" s="6">
        <f>E41+E42+E43+E44+E45</f>
        <v/>
      </c>
      <c r="F46" s="6">
        <f>F41+F42+F43+F44+F45</f>
        <v/>
      </c>
      <c r="G46" s="6">
        <f>G41+G42+G43+G44+G45</f>
        <v/>
      </c>
      <c r="H46" s="6">
        <f>H41+H42+H43+H44+H45</f>
        <v/>
      </c>
      <c r="I46" s="6">
        <f>I41+I42+I43+I44+I45</f>
        <v/>
      </c>
      <c r="J46" s="6">
        <f>J41+J42+J43+J44+J45</f>
        <v/>
      </c>
      <c r="K46" s="6">
        <f>K41+K42+K43+K44+K45</f>
        <v/>
      </c>
      <c r="L46" s="6">
        <f>L41+L42+L43+L44+L45</f>
        <v/>
      </c>
      <c r="M46" s="6">
        <f>M41+M42+M43+M44+M45</f>
        <v/>
      </c>
      <c r="N46" s="6">
        <f>SUM(B46:M46)</f>
        <v/>
      </c>
    </row>
    <row r="47">
      <c r="A47" t="inlineStr">
        <is>
          <t>Квалифицировано: paid</t>
        </is>
      </c>
      <c r="B47">
        <f>B41*$B$20</f>
        <v/>
      </c>
      <c r="C47">
        <f>C41*$B$20</f>
        <v/>
      </c>
      <c r="D47">
        <f>D41*$B$20</f>
        <v/>
      </c>
      <c r="E47">
        <f>E41*$B$20</f>
        <v/>
      </c>
      <c r="F47">
        <f>F41*$B$20</f>
        <v/>
      </c>
      <c r="G47">
        <f>G41*$B$20</f>
        <v/>
      </c>
      <c r="H47">
        <f>H41*$B$20</f>
        <v/>
      </c>
      <c r="I47">
        <f>I41*$B$20</f>
        <v/>
      </c>
      <c r="J47">
        <f>J41*$B$20</f>
        <v/>
      </c>
      <c r="K47">
        <f>K41*$B$20</f>
        <v/>
      </c>
      <c r="L47">
        <f>L41*$B$20</f>
        <v/>
      </c>
      <c r="M47">
        <f>M41*$B$20</f>
        <v/>
      </c>
      <c r="N47">
        <f>SUM(B47:M47)</f>
        <v/>
      </c>
    </row>
    <row r="48">
      <c r="A48" t="inlineStr">
        <is>
          <t>Квалифицировано: комьюнити</t>
        </is>
      </c>
      <c r="B48">
        <f>B42*$B$21</f>
        <v/>
      </c>
      <c r="C48">
        <f>C42*$B$21</f>
        <v/>
      </c>
      <c r="D48">
        <f>D42*$B$21</f>
        <v/>
      </c>
      <c r="E48">
        <f>E42*$B$21</f>
        <v/>
      </c>
      <c r="F48">
        <f>F42*$B$21</f>
        <v/>
      </c>
      <c r="G48">
        <f>G42*$B$21</f>
        <v/>
      </c>
      <c r="H48">
        <f>H42*$B$21</f>
        <v/>
      </c>
      <c r="I48">
        <f>I42*$B$21</f>
        <v/>
      </c>
      <c r="J48">
        <f>J42*$B$21</f>
        <v/>
      </c>
      <c r="K48">
        <f>K42*$B$21</f>
        <v/>
      </c>
      <c r="L48">
        <f>L42*$B$21</f>
        <v/>
      </c>
      <c r="M48">
        <f>M42*$B$21</f>
        <v/>
      </c>
      <c r="N48">
        <f>SUM(B48:M48)</f>
        <v/>
      </c>
    </row>
    <row r="49">
      <c r="A49" t="inlineStr">
        <is>
          <t>Квалифицировано: SEO</t>
        </is>
      </c>
      <c r="B49">
        <f>B43*$B$23</f>
        <v/>
      </c>
      <c r="C49">
        <f>C43*$B$23</f>
        <v/>
      </c>
      <c r="D49">
        <f>D43*$B$23</f>
        <v/>
      </c>
      <c r="E49">
        <f>E43*$B$23</f>
        <v/>
      </c>
      <c r="F49">
        <f>F43*$B$23</f>
        <v/>
      </c>
      <c r="G49">
        <f>G43*$B$23</f>
        <v/>
      </c>
      <c r="H49">
        <f>H43*$B$23</f>
        <v/>
      </c>
      <c r="I49">
        <f>I43*$B$23</f>
        <v/>
      </c>
      <c r="J49">
        <f>J43*$B$23</f>
        <v/>
      </c>
      <c r="K49">
        <f>K43*$B$23</f>
        <v/>
      </c>
      <c r="L49">
        <f>L43*$B$23</f>
        <v/>
      </c>
      <c r="M49">
        <f>M43*$B$23</f>
        <v/>
      </c>
      <c r="N49">
        <f>SUM(B49:M49)</f>
        <v/>
      </c>
    </row>
    <row r="50">
      <c r="A50" t="inlineStr">
        <is>
          <t>Квалифицировано: агентства</t>
        </is>
      </c>
      <c r="B50">
        <f>B44*$B$25</f>
        <v/>
      </c>
      <c r="C50">
        <f>C44*$B$25</f>
        <v/>
      </c>
      <c r="D50">
        <f>D44*$B$25</f>
        <v/>
      </c>
      <c r="E50">
        <f>E44*$B$25</f>
        <v/>
      </c>
      <c r="F50">
        <f>F44*$B$25</f>
        <v/>
      </c>
      <c r="G50">
        <f>G44*$B$25</f>
        <v/>
      </c>
      <c r="H50">
        <f>H44*$B$25</f>
        <v/>
      </c>
      <c r="I50">
        <f>I44*$B$25</f>
        <v/>
      </c>
      <c r="J50">
        <f>J44*$B$25</f>
        <v/>
      </c>
      <c r="K50">
        <f>K44*$B$25</f>
        <v/>
      </c>
      <c r="L50">
        <f>L44*$B$25</f>
        <v/>
      </c>
      <c r="M50">
        <f>M44*$B$25</f>
        <v/>
      </c>
      <c r="N50">
        <f>SUM(B50:M50)</f>
        <v/>
      </c>
    </row>
    <row r="51">
      <c r="A51" t="inlineStr">
        <is>
          <t>Квалифицировано: партнёры</t>
        </is>
      </c>
      <c r="B51">
        <f>B45*$B$22</f>
        <v/>
      </c>
      <c r="C51">
        <f>C45*$B$22</f>
        <v/>
      </c>
      <c r="D51">
        <f>D45*$B$22</f>
        <v/>
      </c>
      <c r="E51">
        <f>E45*$B$22</f>
        <v/>
      </c>
      <c r="F51">
        <f>F45*$B$22</f>
        <v/>
      </c>
      <c r="G51">
        <f>G45*$B$22</f>
        <v/>
      </c>
      <c r="H51">
        <f>H45*$B$22</f>
        <v/>
      </c>
      <c r="I51">
        <f>I45*$B$22</f>
        <v/>
      </c>
      <c r="J51">
        <f>J45*$B$22</f>
        <v/>
      </c>
      <c r="K51">
        <f>K45*$B$22</f>
        <v/>
      </c>
      <c r="L51">
        <f>L45*$B$22</f>
        <v/>
      </c>
      <c r="M51">
        <f>M45*$B$22</f>
        <v/>
      </c>
      <c r="N51">
        <f>SUM(B51:M51)</f>
        <v/>
      </c>
    </row>
    <row r="52">
      <c r="A52" t="inlineStr">
        <is>
          <t>Квалифицировано: referral</t>
        </is>
      </c>
      <c r="B52" t="n">
        <v>0</v>
      </c>
      <c r="C52">
        <f>B56*$B$17*$B$24</f>
        <v/>
      </c>
      <c r="D52">
        <f>C56*$B$17*$B$24</f>
        <v/>
      </c>
      <c r="E52">
        <f>D56*$B$17*$B$24</f>
        <v/>
      </c>
      <c r="F52">
        <f>E56*$B$17*$B$24</f>
        <v/>
      </c>
      <c r="G52">
        <f>F56*$B$17*$B$24</f>
        <v/>
      </c>
      <c r="H52">
        <f>G56*$B$17*$B$24</f>
        <v/>
      </c>
      <c r="I52">
        <f>H56*$B$17*$B$24</f>
        <v/>
      </c>
      <c r="J52">
        <f>I56*$B$17*$B$24</f>
        <v/>
      </c>
      <c r="K52">
        <f>J56*$B$17*$B$24</f>
        <v/>
      </c>
      <c r="L52">
        <f>K56*$B$17*$B$24</f>
        <v/>
      </c>
      <c r="M52">
        <f>L56*$B$17*$B$24</f>
        <v/>
      </c>
      <c r="N52">
        <f>SUM(B52:M52)</f>
        <v/>
      </c>
    </row>
    <row r="53">
      <c r="A53" s="6" t="inlineStr">
        <is>
          <t>Итого квалифицированных</t>
        </is>
      </c>
      <c r="B53" s="6">
        <f>B47+B48+B49+B50+B51+B52</f>
        <v/>
      </c>
      <c r="C53" s="6">
        <f>C47+C48+C49+C50+C51+C52</f>
        <v/>
      </c>
      <c r="D53" s="6">
        <f>D47+D48+D49+D50+D51+D52</f>
        <v/>
      </c>
      <c r="E53" s="6">
        <f>E47+E48+E49+E50+E51+E52</f>
        <v/>
      </c>
      <c r="F53" s="6">
        <f>F47+F48+F49+F50+F51+F52</f>
        <v/>
      </c>
      <c r="G53" s="6">
        <f>G47+G48+G49+G50+G51+G52</f>
        <v/>
      </c>
      <c r="H53" s="6">
        <f>H47+H48+H49+H50+H51+H52</f>
        <v/>
      </c>
      <c r="I53" s="6">
        <f>I47+I48+I49+I50+I51+I52</f>
        <v/>
      </c>
      <c r="J53" s="6">
        <f>J47+J48+J49+J50+J51+J52</f>
        <v/>
      </c>
      <c r="K53" s="6">
        <f>K47+K48+K49+K50+K51+K52</f>
        <v/>
      </c>
      <c r="L53" s="6">
        <f>L47+L48+L49+L50+L51+L52</f>
        <v/>
      </c>
      <c r="M53" s="6">
        <f>M47+M48+M49+M50+M51+M52</f>
        <v/>
      </c>
      <c r="N53" s="6">
        <f>SUM(B53:M53)</f>
        <v/>
      </c>
    </row>
    <row r="54">
      <c r="A54" t="inlineStr">
        <is>
          <t>Сделки через агентства</t>
        </is>
      </c>
      <c r="B54">
        <f>ROUND(MIN(B53*$B$28,B14*B30),0)</f>
        <v/>
      </c>
      <c r="C54">
        <f>ROUND(MIN(C53*$B$28,C14*C30),0)</f>
        <v/>
      </c>
      <c r="D54">
        <f>ROUND(MIN(D53*$B$28,D14*D30),0)</f>
        <v/>
      </c>
      <c r="E54">
        <f>ROUND(MIN(E53*$B$28,E14*E30),0)</f>
        <v/>
      </c>
      <c r="F54">
        <f>ROUND(MIN(F53*$B$28,F14*F30),0)</f>
        <v/>
      </c>
      <c r="G54">
        <f>ROUND(MIN(G53*$B$28,G14*G30),0)</f>
        <v/>
      </c>
      <c r="H54">
        <f>ROUND(MIN(H53*$B$28,H14*H30),0)</f>
        <v/>
      </c>
      <c r="I54">
        <f>ROUND(MIN(I53*$B$28,I14*I30),0)</f>
        <v/>
      </c>
      <c r="J54">
        <f>ROUND(MIN(J53*$B$28,J14*J30),0)</f>
        <v/>
      </c>
      <c r="K54">
        <f>ROUND(MIN(K53*$B$28,K14*K30),0)</f>
        <v/>
      </c>
      <c r="L54">
        <f>ROUND(MIN(L53*$B$28,L14*L30),0)</f>
        <v/>
      </c>
      <c r="M54">
        <f>ROUND(MIN(M53*$B$28,M14*M30),0)</f>
        <v/>
      </c>
      <c r="N54">
        <f>SUM(B54:M54)</f>
        <v/>
      </c>
    </row>
    <row r="55">
      <c r="A55" t="inlineStr">
        <is>
          <t>Сделки на каталоге IS24</t>
        </is>
      </c>
      <c r="B55">
        <f>ROUND(B53*$B$29,0)</f>
        <v/>
      </c>
      <c r="C55">
        <f>ROUND(C53*$B$29,0)</f>
        <v/>
      </c>
      <c r="D55">
        <f>ROUND(D53*$B$29,0)</f>
        <v/>
      </c>
      <c r="E55">
        <f>ROUND(E53*$B$29,0)</f>
        <v/>
      </c>
      <c r="F55">
        <f>ROUND(F53*$B$29,0)</f>
        <v/>
      </c>
      <c r="G55">
        <f>ROUND(G53*$B$29,0)</f>
        <v/>
      </c>
      <c r="H55">
        <f>ROUND(H53*$B$29,0)</f>
        <v/>
      </c>
      <c r="I55">
        <f>ROUND(I53*$B$29,0)</f>
        <v/>
      </c>
      <c r="J55">
        <f>ROUND(J53*$B$29,0)</f>
        <v/>
      </c>
      <c r="K55">
        <f>ROUND(K53*$B$29,0)</f>
        <v/>
      </c>
      <c r="L55">
        <f>ROUND(L53*$B$29,0)</f>
        <v/>
      </c>
      <c r="M55">
        <f>ROUND(M53*$B$29,0)</f>
        <v/>
      </c>
      <c r="N55">
        <f>SUM(B55:M55)</f>
        <v/>
      </c>
    </row>
    <row r="56">
      <c r="A56" s="6" t="inlineStr">
        <is>
          <t>Сделок всего</t>
        </is>
      </c>
      <c r="B56" s="6">
        <f>B54+B55</f>
        <v/>
      </c>
      <c r="C56" s="6">
        <f>C54+C55</f>
        <v/>
      </c>
      <c r="D56" s="6">
        <f>D54+D55</f>
        <v/>
      </c>
      <c r="E56" s="6">
        <f>E54+E55</f>
        <v/>
      </c>
      <c r="F56" s="6">
        <f>F54+F55</f>
        <v/>
      </c>
      <c r="G56" s="6">
        <f>G54+G55</f>
        <v/>
      </c>
      <c r="H56" s="6">
        <f>H54+H55</f>
        <v/>
      </c>
      <c r="I56" s="6">
        <f>I54+I55</f>
        <v/>
      </c>
      <c r="J56" s="6">
        <f>J54+J55</f>
        <v/>
      </c>
      <c r="K56" s="6">
        <f>K54+K55</f>
        <v/>
      </c>
      <c r="L56" s="6">
        <f>L54+L55</f>
        <v/>
      </c>
      <c r="M56" s="6">
        <f>M54+M55</f>
        <v/>
      </c>
      <c r="N56" s="6">
        <f>SUM(B56:M56)</f>
        <v/>
      </c>
    </row>
    <row r="57">
      <c r="A57" t="inlineStr">
        <is>
          <t>Сделок с B2C fee</t>
        </is>
      </c>
      <c r="B57">
        <f>B55+ROUND(B54*$B$37,0)</f>
        <v/>
      </c>
      <c r="C57">
        <f>C55+ROUND(C54*$B$37,0)</f>
        <v/>
      </c>
      <c r="D57">
        <f>D55+ROUND(D54*$B$37,0)</f>
        <v/>
      </c>
      <c r="E57">
        <f>E55+ROUND(E54*$B$37,0)</f>
        <v/>
      </c>
      <c r="F57">
        <f>F55+ROUND(F54*$B$37,0)</f>
        <v/>
      </c>
      <c r="G57">
        <f>G55+ROUND(G54*$B$37,0)</f>
        <v/>
      </c>
      <c r="H57">
        <f>H55+ROUND(H54*$B$37,0)</f>
        <v/>
      </c>
      <c r="I57">
        <f>I55+ROUND(I54*$B$37,0)</f>
        <v/>
      </c>
      <c r="J57">
        <f>J55+ROUND(J54*$B$37,0)</f>
        <v/>
      </c>
      <c r="K57">
        <f>K55+ROUND(K54*$B$37,0)</f>
        <v/>
      </c>
      <c r="L57">
        <f>L55+ROUND(L54*$B$37,0)</f>
        <v/>
      </c>
      <c r="M57">
        <f>M55+ROUND(M54*$B$37,0)</f>
        <v/>
      </c>
      <c r="N57">
        <f>SUM(B57:M57)</f>
        <v/>
      </c>
    </row>
    <row r="59">
      <c r="A59" s="3" t="inlineStr">
        <is>
          <t>ВЫРУЧКА</t>
        </is>
      </c>
    </row>
    <row r="60">
      <c r="A60" t="inlineStr">
        <is>
          <t>R1+R2: сплит комиссии (аренда/продажа)</t>
        </is>
      </c>
      <c r="B60">
        <f>ROUND(B54*($B$35*$B$33+(1-$B$35)*$B$34),0)</f>
        <v/>
      </c>
      <c r="C60">
        <f>ROUND(C54*($B$35*$B$33+(1-$B$35)*$B$34),0)</f>
        <v/>
      </c>
      <c r="D60">
        <f>ROUND(D54*($B$35*$B$33+(1-$B$35)*$B$34),0)</f>
        <v/>
      </c>
      <c r="E60">
        <f>ROUND(E54*($B$35*$B$33+(1-$B$35)*$B$34),0)</f>
        <v/>
      </c>
      <c r="F60">
        <f>ROUND(F54*($B$35*$B$33+(1-$B$35)*$B$34),0)</f>
        <v/>
      </c>
      <c r="G60">
        <f>ROUND(G54*($B$35*$B$33+(1-$B$35)*$B$34),0)</f>
        <v/>
      </c>
      <c r="H60">
        <f>ROUND(H54*($B$35*$B$33+(1-$B$35)*$B$34),0)</f>
        <v/>
      </c>
      <c r="I60">
        <f>ROUND(I54*($B$35*$B$33+(1-$B$35)*$B$34),0)</f>
        <v/>
      </c>
      <c r="J60">
        <f>ROUND(J54*($B$35*$B$33+(1-$B$35)*$B$34),0)</f>
        <v/>
      </c>
      <c r="K60">
        <f>ROUND(K54*($B$35*$B$33+(1-$B$35)*$B$34),0)</f>
        <v/>
      </c>
      <c r="L60">
        <f>ROUND(L54*($B$35*$B$33+(1-$B$35)*$B$34),0)</f>
        <v/>
      </c>
      <c r="M60">
        <f>ROUND(M54*($B$35*$B$33+(1-$B$35)*$B$34),0)</f>
        <v/>
      </c>
      <c r="N60">
        <f>SUM(B60:M60)</f>
        <v/>
      </c>
    </row>
    <row r="61">
      <c r="A61" t="inlineStr">
        <is>
          <t>R3: B2C fee</t>
        </is>
      </c>
      <c r="B61">
        <f>B57*$B$36</f>
        <v/>
      </c>
      <c r="C61">
        <f>C57*$B$36</f>
        <v/>
      </c>
      <c r="D61">
        <f>D57*$B$36</f>
        <v/>
      </c>
      <c r="E61">
        <f>E57*$B$36</f>
        <v/>
      </c>
      <c r="F61">
        <f>F57*$B$36</f>
        <v/>
      </c>
      <c r="G61">
        <f>G57*$B$36</f>
        <v/>
      </c>
      <c r="H61">
        <f>H57*$B$36</f>
        <v/>
      </c>
      <c r="I61">
        <f>I57*$B$36</f>
        <v/>
      </c>
      <c r="J61">
        <f>J57*$B$36</f>
        <v/>
      </c>
      <c r="K61">
        <f>K57*$B$36</f>
        <v/>
      </c>
      <c r="L61">
        <f>L57*$B$36</f>
        <v/>
      </c>
      <c r="M61">
        <f>M57*$B$36</f>
        <v/>
      </c>
      <c r="N61">
        <f>SUM(B61:M61)</f>
        <v/>
      </c>
    </row>
    <row r="62">
      <c r="A62" t="inlineStr">
        <is>
          <t>R4: upsell</t>
        </is>
      </c>
      <c r="B62">
        <f>B38</f>
        <v/>
      </c>
      <c r="C62">
        <f>C38</f>
        <v/>
      </c>
      <c r="D62">
        <f>D38</f>
        <v/>
      </c>
      <c r="E62">
        <f>E38</f>
        <v/>
      </c>
      <c r="F62">
        <f>F38</f>
        <v/>
      </c>
      <c r="G62">
        <f>G38</f>
        <v/>
      </c>
      <c r="H62">
        <f>H38</f>
        <v/>
      </c>
      <c r="I62">
        <f>I38</f>
        <v/>
      </c>
      <c r="J62">
        <f>J38</f>
        <v/>
      </c>
      <c r="K62">
        <f>K38</f>
        <v/>
      </c>
      <c r="L62">
        <f>L38</f>
        <v/>
      </c>
      <c r="M62">
        <f>M38</f>
        <v/>
      </c>
      <c r="N62">
        <f>SUM(B62:M62)</f>
        <v/>
      </c>
    </row>
    <row r="63">
      <c r="A63" s="6" t="inlineStr">
        <is>
          <t>TOTAL REVENUE</t>
        </is>
      </c>
      <c r="B63" s="6">
        <f>B60+B61+B62</f>
        <v/>
      </c>
      <c r="C63" s="6">
        <f>C60+C61+C62</f>
        <v/>
      </c>
      <c r="D63" s="6">
        <f>D60+D61+D62</f>
        <v/>
      </c>
      <c r="E63" s="6">
        <f>E60+E61+E62</f>
        <v/>
      </c>
      <c r="F63" s="6">
        <f>F60+F61+F62</f>
        <v/>
      </c>
      <c r="G63" s="6">
        <f>G60+G61+G62</f>
        <v/>
      </c>
      <c r="H63" s="6">
        <f>H60+H61+H62</f>
        <v/>
      </c>
      <c r="I63" s="6">
        <f>I60+I61+I62</f>
        <v/>
      </c>
      <c r="J63" s="6">
        <f>J60+J61+J62</f>
        <v/>
      </c>
      <c r="K63" s="6">
        <f>K60+K61+K62</f>
        <v/>
      </c>
      <c r="L63" s="6">
        <f>L60+L61+L62</f>
        <v/>
      </c>
      <c r="M63" s="6">
        <f>M60+M61+M62</f>
        <v/>
      </c>
      <c r="N63" s="6">
        <f>SUM(B63:M63)</f>
        <v/>
      </c>
    </row>
    <row r="65">
      <c r="A65" s="3" t="inlineStr">
        <is>
          <t>РАСХОДЫ</t>
        </is>
      </c>
    </row>
    <row r="66">
      <c r="A66" t="inlineStr">
        <is>
          <t>Маркетинг: paid</t>
        </is>
      </c>
      <c r="B66">
        <f>B6</f>
        <v/>
      </c>
      <c r="C66">
        <f>C6</f>
        <v/>
      </c>
      <c r="D66">
        <f>D6</f>
        <v/>
      </c>
      <c r="E66">
        <f>E6</f>
        <v/>
      </c>
      <c r="F66">
        <f>F6</f>
        <v/>
      </c>
      <c r="G66">
        <f>G6</f>
        <v/>
      </c>
      <c r="H66">
        <f>H6</f>
        <v/>
      </c>
      <c r="I66">
        <f>I6</f>
        <v/>
      </c>
      <c r="J66">
        <f>J6</f>
        <v/>
      </c>
      <c r="K66">
        <f>K6</f>
        <v/>
      </c>
      <c r="L66">
        <f>L6</f>
        <v/>
      </c>
      <c r="M66">
        <f>M6</f>
        <v/>
      </c>
      <c r="N66">
        <f>SUM(B66:M66)</f>
        <v/>
      </c>
    </row>
    <row r="67">
      <c r="A67" t="inlineStr">
        <is>
          <t>Контент / SEO</t>
        </is>
      </c>
      <c r="B67" s="8" t="n">
        <v>500</v>
      </c>
      <c r="C67" s="8" t="n">
        <v>500</v>
      </c>
      <c r="D67" s="8" t="n">
        <v>500</v>
      </c>
      <c r="E67" s="8" t="n">
        <v>500</v>
      </c>
      <c r="F67" s="8" t="n">
        <v>500</v>
      </c>
      <c r="G67" s="8" t="n">
        <v>500</v>
      </c>
      <c r="H67" s="8" t="n">
        <v>500</v>
      </c>
      <c r="I67" s="8" t="n">
        <v>500</v>
      </c>
      <c r="J67" s="8" t="n">
        <v>500</v>
      </c>
      <c r="K67" s="8" t="n">
        <v>500</v>
      </c>
      <c r="L67" s="8" t="n">
        <v>500</v>
      </c>
      <c r="M67" s="8" t="n">
        <v>500</v>
      </c>
      <c r="N67">
        <f>SUM(B67:M67)</f>
        <v/>
      </c>
    </row>
    <row r="68">
      <c r="A68" t="inlineStr">
        <is>
          <t>BD: агентства + партнёрства + комьюнити</t>
        </is>
      </c>
      <c r="B68" s="8" t="n">
        <v>1500</v>
      </c>
      <c r="C68" s="8" t="n">
        <v>1500</v>
      </c>
      <c r="D68" s="8" t="n">
        <v>1500</v>
      </c>
      <c r="E68" s="8" t="n">
        <v>2000</v>
      </c>
      <c r="F68" s="8" t="n">
        <v>2000</v>
      </c>
      <c r="G68" s="8" t="n">
        <v>2000</v>
      </c>
      <c r="H68" s="8" t="n">
        <v>2500</v>
      </c>
      <c r="I68" s="8" t="n">
        <v>2500</v>
      </c>
      <c r="J68" s="8" t="n">
        <v>2500</v>
      </c>
      <c r="K68" s="8" t="n">
        <v>2500</v>
      </c>
      <c r="L68" s="8" t="n">
        <v>3000</v>
      </c>
      <c r="M68" s="8" t="n">
        <v>3000</v>
      </c>
      <c r="N68">
        <f>SUM(B68:M68)</f>
        <v/>
      </c>
    </row>
    <row r="69">
      <c r="A69" t="inlineStr">
        <is>
          <t>Команда: dev / support (контракторы)</t>
        </is>
      </c>
      <c r="B69" s="8" t="n">
        <v>3000</v>
      </c>
      <c r="C69" s="8" t="n">
        <v>3000</v>
      </c>
      <c r="D69" s="8" t="n">
        <v>3000</v>
      </c>
      <c r="E69" s="8" t="n">
        <v>3500</v>
      </c>
      <c r="F69" s="8" t="n">
        <v>3500</v>
      </c>
      <c r="G69" s="8" t="n">
        <v>3500</v>
      </c>
      <c r="H69" s="8" t="n">
        <v>4000</v>
      </c>
      <c r="I69" s="8" t="n">
        <v>4000</v>
      </c>
      <c r="J69" s="8" t="n">
        <v>4000</v>
      </c>
      <c r="K69" s="8" t="n">
        <v>4500</v>
      </c>
      <c r="L69" s="8" t="n">
        <v>4500</v>
      </c>
      <c r="M69" s="8" t="n">
        <v>4500</v>
      </c>
      <c r="N69">
        <f>SUM(B69:M69)</f>
        <v/>
      </c>
    </row>
    <row r="70">
      <c r="A70" t="inlineStr">
        <is>
          <t>Инфраструктура + AI API</t>
        </is>
      </c>
      <c r="B70" s="8" t="n">
        <v>700</v>
      </c>
      <c r="C70" s="8" t="n">
        <v>750</v>
      </c>
      <c r="D70" s="8" t="n">
        <v>800</v>
      </c>
      <c r="E70" s="8" t="n">
        <v>850</v>
      </c>
      <c r="F70" s="8" t="n">
        <v>900</v>
      </c>
      <c r="G70" s="8" t="n">
        <v>950</v>
      </c>
      <c r="H70" s="8" t="n">
        <v>1000</v>
      </c>
      <c r="I70" s="8" t="n">
        <v>1050</v>
      </c>
      <c r="J70" s="8" t="n">
        <v>1100</v>
      </c>
      <c r="K70" s="8" t="n">
        <v>1150</v>
      </c>
      <c r="L70" s="8" t="n">
        <v>1200</v>
      </c>
      <c r="M70" s="8" t="n">
        <v>1250</v>
      </c>
      <c r="N70">
        <f>SUM(B70:M70)</f>
        <v/>
      </c>
    </row>
    <row r="71">
      <c r="A71" t="inlineStr">
        <is>
          <t>Tools, legal, прочее</t>
        </is>
      </c>
      <c r="B71" s="8" t="n">
        <v>500</v>
      </c>
      <c r="C71" s="8" t="n">
        <v>500</v>
      </c>
      <c r="D71" s="8" t="n">
        <v>500</v>
      </c>
      <c r="E71" s="8" t="n">
        <v>600</v>
      </c>
      <c r="F71" s="8" t="n">
        <v>600</v>
      </c>
      <c r="G71" s="8" t="n">
        <v>600</v>
      </c>
      <c r="H71" s="8" t="n">
        <v>700</v>
      </c>
      <c r="I71" s="8" t="n">
        <v>700</v>
      </c>
      <c r="J71" s="8" t="n">
        <v>700</v>
      </c>
      <c r="K71" s="8" t="n">
        <v>800</v>
      </c>
      <c r="L71" s="8" t="n">
        <v>800</v>
      </c>
      <c r="M71" s="8" t="n">
        <v>800</v>
      </c>
      <c r="N71">
        <f>SUM(B71:M71)</f>
        <v/>
      </c>
    </row>
    <row r="72">
      <c r="A72" s="6" t="inlineStr">
        <is>
          <t>TOTAL COSTS</t>
        </is>
      </c>
      <c r="B72" s="6">
        <f>B66+B67+B68+B69+B70+B71</f>
        <v/>
      </c>
      <c r="C72" s="6">
        <f>C66+C67+C68+C69+C70+C71</f>
        <v/>
      </c>
      <c r="D72" s="6">
        <f>D66+D67+D68+D69+D70+D71</f>
        <v/>
      </c>
      <c r="E72" s="6">
        <f>E66+E67+E68+E69+E70+E71</f>
        <v/>
      </c>
      <c r="F72" s="6">
        <f>F66+F67+F68+F69+F70+F71</f>
        <v/>
      </c>
      <c r="G72" s="6">
        <f>G66+G67+G68+G69+G70+G71</f>
        <v/>
      </c>
      <c r="H72" s="6">
        <f>H66+H67+H68+H69+H70+H71</f>
        <v/>
      </c>
      <c r="I72" s="6">
        <f>I66+I67+I68+I69+I70+I71</f>
        <v/>
      </c>
      <c r="J72" s="6">
        <f>J66+J67+J68+J69+J70+J71</f>
        <v/>
      </c>
      <c r="K72" s="6">
        <f>K66+K67+K68+K69+K70+K71</f>
        <v/>
      </c>
      <c r="L72" s="6">
        <f>L66+L67+L68+L69+L70+L71</f>
        <v/>
      </c>
      <c r="M72" s="6">
        <f>M66+M67+M68+M69+M70+M71</f>
        <v/>
      </c>
      <c r="N72" s="6">
        <f>SUM(B72:M72)</f>
        <v/>
      </c>
    </row>
    <row r="74">
      <c r="A74" s="6" t="inlineStr">
        <is>
          <t>EBITDA</t>
        </is>
      </c>
      <c r="B74" s="6">
        <f>B63-B72</f>
        <v/>
      </c>
      <c r="C74" s="6">
        <f>C63-C72</f>
        <v/>
      </c>
      <c r="D74" s="6">
        <f>D63-D72</f>
        <v/>
      </c>
      <c r="E74" s="6">
        <f>E63-E72</f>
        <v/>
      </c>
      <c r="F74" s="6">
        <f>F63-F72</f>
        <v/>
      </c>
      <c r="G74" s="6">
        <f>G63-G72</f>
        <v/>
      </c>
      <c r="H74" s="6">
        <f>H63-H72</f>
        <v/>
      </c>
      <c r="I74" s="6">
        <f>I63-I72</f>
        <v/>
      </c>
      <c r="J74" s="6">
        <f>J63-J72</f>
        <v/>
      </c>
      <c r="K74" s="6">
        <f>K63-K72</f>
        <v/>
      </c>
      <c r="L74" s="6">
        <f>L63-L72</f>
        <v/>
      </c>
      <c r="M74" s="6">
        <f>M63-M72</f>
        <v/>
      </c>
      <c r="N74" s="6">
        <f>SUM(B74:M74)</f>
        <v/>
      </c>
    </row>
    <row r="75">
      <c r="A75" t="inlineStr">
        <is>
          <t>Кэш (старт €18,000)</t>
        </is>
      </c>
      <c r="B75">
        <f>18000+B74</f>
        <v/>
      </c>
      <c r="C75">
        <f>B75+C74</f>
        <v/>
      </c>
      <c r="D75">
        <f>C75+D74</f>
        <v/>
      </c>
      <c r="E75">
        <f>D75+E74</f>
        <v/>
      </c>
      <c r="F75">
        <f>E75+F74</f>
        <v/>
      </c>
      <c r="G75">
        <f>F75+G74</f>
        <v/>
      </c>
      <c r="H75">
        <f>G75+H74</f>
        <v/>
      </c>
      <c r="I75">
        <f>H75+I74</f>
        <v/>
      </c>
      <c r="J75">
        <f>I75+J74</f>
        <v/>
      </c>
      <c r="K75">
        <f>J75+K74</f>
        <v/>
      </c>
      <c r="L75">
        <f>K75+L74</f>
        <v/>
      </c>
      <c r="M75">
        <f>L75+M74</f>
        <v/>
      </c>
    </row>
    <row r="77">
      <c r="A77" s="3" t="inlineStr">
        <is>
          <t>ЮНИТ-ЭКОНОМИКА (год)</t>
        </is>
      </c>
    </row>
    <row r="78">
      <c r="A78" t="inlineStr">
        <is>
          <t>CAC на квалифицированного лида, €</t>
        </is>
      </c>
      <c r="B78">
        <f>ROUND(N6/N53,0)</f>
        <v/>
      </c>
    </row>
    <row r="79">
      <c r="A79" t="inlineStr">
        <is>
          <t>CAC на сделку, €</t>
        </is>
      </c>
      <c r="B79">
        <f>ROUND(N6/N56,0)</f>
        <v/>
      </c>
    </row>
    <row r="80">
      <c r="A80" t="inlineStr">
        <is>
          <t>Выручка на агентскую сделку, €</t>
        </is>
      </c>
      <c r="B80">
        <f>ROUND($B$35*$B$33+(1-$B$35)*$B$34,0)</f>
        <v/>
      </c>
    </row>
    <row r="81">
      <c r="A81" t="inlineStr">
        <is>
          <t>LTV / CAC (агентский канал)</t>
        </is>
      </c>
      <c r="B81">
        <f>ROUND(B80/B79,1)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81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A1" s="1" t="inlineStr">
        <is>
          <t>book.immo — PESSIMISTIC, Берлин, запуск Sep 2026 (EUR)</t>
        </is>
      </c>
    </row>
    <row r="2">
      <c r="A2" s="4" t="inlineStr">
        <is>
          <t>Жёлтые ячейки — входные драйверы (можно менять). Остальное считается формулами.</t>
        </is>
      </c>
    </row>
    <row r="4">
      <c r="A4" s="5" t="inlineStr"/>
      <c r="B4" s="5" t="inlineStr">
        <is>
          <t>Sep</t>
        </is>
      </c>
      <c r="C4" s="5" t="inlineStr">
        <is>
          <t>Oct</t>
        </is>
      </c>
      <c r="D4" s="5" t="inlineStr">
        <is>
          <t>Nov</t>
        </is>
      </c>
      <c r="E4" s="5" t="inlineStr">
        <is>
          <t>Dec</t>
        </is>
      </c>
      <c r="F4" s="5" t="inlineStr">
        <is>
          <t>Jan</t>
        </is>
      </c>
      <c r="G4" s="5" t="inlineStr">
        <is>
          <t>Feb</t>
        </is>
      </c>
      <c r="H4" s="5" t="inlineStr">
        <is>
          <t>Mar</t>
        </is>
      </c>
      <c r="I4" s="5" t="inlineStr">
        <is>
          <t>Apr</t>
        </is>
      </c>
      <c r="J4" s="5" t="inlineStr">
        <is>
          <t>May</t>
        </is>
      </c>
      <c r="K4" s="5" t="inlineStr">
        <is>
          <t>Jun</t>
        </is>
      </c>
      <c r="L4" s="5" t="inlineStr">
        <is>
          <t>Jul</t>
        </is>
      </c>
      <c r="M4" s="5" t="inlineStr">
        <is>
          <t>Aug</t>
        </is>
      </c>
      <c r="N4" s="5" t="inlineStr">
        <is>
          <t>YEAR</t>
        </is>
      </c>
    </row>
    <row r="5">
      <c r="A5" s="3" t="inlineStr">
        <is>
          <t>ДРАЙВЕРЫ — каналы (входные)</t>
        </is>
      </c>
    </row>
    <row r="6">
      <c r="A6" t="inlineStr">
        <is>
          <t>Paid: бюджет, €/мес</t>
        </is>
      </c>
      <c r="B6" s="8" t="n">
        <v>2000</v>
      </c>
      <c r="C6" s="8" t="n">
        <v>2200</v>
      </c>
      <c r="D6" s="8" t="n">
        <v>2500</v>
      </c>
      <c r="E6" s="8" t="n">
        <v>2500</v>
      </c>
      <c r="F6" s="8" t="n">
        <v>3000</v>
      </c>
      <c r="G6" s="8" t="n">
        <v>3000</v>
      </c>
      <c r="H6" s="8" t="n">
        <v>3500</v>
      </c>
      <c r="I6" s="8" t="n">
        <v>3500</v>
      </c>
      <c r="J6" s="8" t="n">
        <v>4000</v>
      </c>
      <c r="K6" s="8" t="n">
        <v>4000</v>
      </c>
      <c r="L6" s="8" t="n">
        <v>4500</v>
      </c>
      <c r="M6" s="8" t="n">
        <v>4500</v>
      </c>
      <c r="N6">
        <f>SUM(B6:M6)</f>
        <v/>
      </c>
    </row>
    <row r="7">
      <c r="A7" t="inlineStr">
        <is>
          <t>Paid: CPC, €</t>
        </is>
      </c>
      <c r="B7" s="8" t="n">
        <v>2.2</v>
      </c>
    </row>
    <row r="8">
      <c r="A8" t="inlineStr">
        <is>
          <t>Paid: визит → регистрация</t>
        </is>
      </c>
      <c r="B8" s="8" t="n">
        <v>0.02</v>
      </c>
    </row>
    <row r="9">
      <c r="A9" t="inlineStr">
        <is>
          <t>Комьюнити: регистраций/мес</t>
        </is>
      </c>
      <c r="B9" s="8" t="n">
        <v>70</v>
      </c>
      <c r="C9" s="8" t="n">
        <v>120</v>
      </c>
      <c r="D9" s="8" t="n">
        <v>180</v>
      </c>
      <c r="E9" s="8" t="n">
        <v>240</v>
      </c>
      <c r="F9" s="8" t="n">
        <v>290</v>
      </c>
      <c r="G9" s="8" t="n">
        <v>340</v>
      </c>
      <c r="H9" s="8" t="n">
        <v>370</v>
      </c>
      <c r="I9" s="8" t="n">
        <v>410</v>
      </c>
      <c r="J9" s="8" t="n">
        <v>440</v>
      </c>
      <c r="K9" s="8" t="n">
        <v>480</v>
      </c>
      <c r="L9" s="8" t="n">
        <v>510</v>
      </c>
      <c r="M9" s="8" t="n">
        <v>540</v>
      </c>
      <c r="N9">
        <f>SUM(B9:M9)</f>
        <v/>
      </c>
    </row>
    <row r="10">
      <c r="A10" t="inlineStr">
        <is>
          <t>Партнёры (HR / вузы), шт.</t>
        </is>
      </c>
      <c r="B10" s="8" t="n">
        <v>0</v>
      </c>
      <c r="C10" s="8" t="n">
        <v>0</v>
      </c>
      <c r="D10" s="8" t="n">
        <v>0</v>
      </c>
      <c r="E10" s="8" t="n">
        <v>1</v>
      </c>
      <c r="F10" s="8" t="n">
        <v>1</v>
      </c>
      <c r="G10" s="8" t="n">
        <v>1</v>
      </c>
      <c r="H10" s="8" t="n">
        <v>2</v>
      </c>
      <c r="I10" s="8" t="n">
        <v>2</v>
      </c>
      <c r="J10" s="8" t="n">
        <v>2</v>
      </c>
      <c r="K10" s="8" t="n">
        <v>3</v>
      </c>
      <c r="L10" s="8" t="n">
        <v>3</v>
      </c>
      <c r="M10" s="8" t="n">
        <v>3</v>
      </c>
    </row>
    <row r="11">
      <c r="A11" t="inlineStr">
        <is>
          <t>Лидов на партнёра / мес</t>
        </is>
      </c>
      <c r="B11" s="8" t="n">
        <v>10</v>
      </c>
    </row>
    <row r="12">
      <c r="A12" t="inlineStr">
        <is>
          <t>SEO: визитов/мес</t>
        </is>
      </c>
      <c r="B12" s="8" t="n">
        <v>480</v>
      </c>
      <c r="C12" s="8" t="n">
        <v>600</v>
      </c>
      <c r="D12" s="8" t="n">
        <v>780</v>
      </c>
      <c r="E12" s="8" t="n">
        <v>1020</v>
      </c>
      <c r="F12" s="8" t="n">
        <v>1320</v>
      </c>
      <c r="G12" s="8" t="n">
        <v>1680</v>
      </c>
      <c r="H12" s="8" t="n">
        <v>2040</v>
      </c>
      <c r="I12" s="8" t="n">
        <v>2400</v>
      </c>
      <c r="J12" s="8" t="n">
        <v>2760</v>
      </c>
      <c r="K12" s="8" t="n">
        <v>3120</v>
      </c>
      <c r="L12" s="8" t="n">
        <v>3480</v>
      </c>
      <c r="M12" s="8" t="n">
        <v>3840</v>
      </c>
      <c r="N12">
        <f>SUM(B12:M12)</f>
        <v/>
      </c>
    </row>
    <row r="13">
      <c r="A13" t="inlineStr">
        <is>
          <t>SEO: визит → регистрация</t>
        </is>
      </c>
      <c r="B13" s="8" t="n">
        <v>0.03</v>
      </c>
    </row>
    <row r="14">
      <c r="A14" t="inlineStr">
        <is>
          <t>Активные агентства (накопл.)</t>
        </is>
      </c>
      <c r="B14" s="8" t="n">
        <v>3</v>
      </c>
      <c r="C14" s="8" t="n">
        <v>3</v>
      </c>
      <c r="D14" s="8" t="n">
        <v>3</v>
      </c>
      <c r="E14" s="8" t="n">
        <v>4</v>
      </c>
      <c r="F14" s="8" t="n">
        <v>4</v>
      </c>
      <c r="G14" s="8" t="n">
        <v>5</v>
      </c>
      <c r="H14" s="8" t="n">
        <v>5</v>
      </c>
      <c r="I14" s="8" t="n">
        <v>6</v>
      </c>
      <c r="J14" s="8" t="n">
        <v>6</v>
      </c>
      <c r="K14" s="8" t="n">
        <v>7</v>
      </c>
      <c r="L14" s="8" t="n">
        <v>7</v>
      </c>
      <c r="M14" s="8" t="n">
        <v>8</v>
      </c>
    </row>
    <row r="15">
      <c r="A15" t="inlineStr">
        <is>
          <t>Визитов от агентства / мес</t>
        </is>
      </c>
      <c r="B15" s="8" t="n">
        <v>100</v>
      </c>
    </row>
    <row r="16">
      <c r="A16" t="inlineStr">
        <is>
          <t>Агентства: визит → регистрация</t>
        </is>
      </c>
      <c r="B16" s="8" t="n">
        <v>0.06</v>
      </c>
    </row>
    <row r="17">
      <c r="A17" t="inlineStr">
        <is>
          <t>Referral: лидов на сделку прошлого месяца</t>
        </is>
      </c>
      <c r="B17" s="8" t="n">
        <v>0.1</v>
      </c>
    </row>
    <row r="19">
      <c r="A19" s="3" t="inlineStr">
        <is>
          <t>КВАЛИФИКАЦИЯ по каналу (доля регистраций, прошедших скрининг)</t>
        </is>
      </c>
    </row>
    <row r="20">
      <c r="A20" t="inlineStr">
        <is>
          <t xml:space="preserve">  Paid search (long-tail + EN)</t>
        </is>
      </c>
      <c r="B20" s="8" t="n">
        <v>0.35</v>
      </c>
    </row>
    <row r="21">
      <c r="A21" t="inlineStr">
        <is>
          <t xml:space="preserve">  Экспат-комьюнити</t>
        </is>
      </c>
      <c r="B21" s="8" t="n">
        <v>0.22</v>
      </c>
    </row>
    <row r="22">
      <c r="A22" t="inlineStr">
        <is>
          <t xml:space="preserve">  Relocation-партнёрства (B2B2C)</t>
        </is>
      </c>
      <c r="B22" s="8" t="n">
        <v>1</v>
      </c>
    </row>
    <row r="23">
      <c r="A23" t="inlineStr">
        <is>
          <t xml:space="preserve">  SEO на каталоге IS24/Immowelt</t>
        </is>
      </c>
      <c r="B23" s="8" t="n">
        <v>0.4</v>
      </c>
    </row>
    <row r="24">
      <c r="A24" t="inlineStr">
        <is>
          <t xml:space="preserve">  Реферальная петля</t>
        </is>
      </c>
      <c r="B24" s="8" t="n">
        <v>0.5</v>
      </c>
    </row>
    <row r="25">
      <c r="A25" t="inlineStr">
        <is>
          <t xml:space="preserve">  Агентства как канал</t>
        </is>
      </c>
      <c r="B25" s="8" t="n">
        <v>0.5</v>
      </c>
    </row>
    <row r="27">
      <c r="A27" s="3" t="inlineStr">
        <is>
          <t>КОНВЕРСИЯ в сделку</t>
        </is>
      </c>
    </row>
    <row r="28">
      <c r="A28" t="inlineStr">
        <is>
          <t>Квалифицированный → сделка через агентство</t>
        </is>
      </c>
      <c r="B28" s="8" t="n">
        <v>0.08</v>
      </c>
    </row>
    <row r="29">
      <c r="A29" t="inlineStr">
        <is>
          <t>Квалифицированный → сделка на каталоге IS24</t>
        </is>
      </c>
      <c r="B29" s="8" t="n">
        <v>0.025</v>
      </c>
    </row>
    <row r="30">
      <c r="A30" t="inlineStr">
        <is>
          <t>Потолок сделок на агентство / мес</t>
        </is>
      </c>
      <c r="B30" s="8" t="n">
        <v>0.5</v>
      </c>
      <c r="C30" s="8" t="n">
        <v>0.5</v>
      </c>
      <c r="D30" s="8" t="n">
        <v>1</v>
      </c>
      <c r="E30" s="8" t="n">
        <v>1</v>
      </c>
      <c r="F30" s="8" t="n">
        <v>1</v>
      </c>
      <c r="G30" s="8" t="n">
        <v>1.5</v>
      </c>
      <c r="H30" s="8" t="n">
        <v>1.5</v>
      </c>
      <c r="I30" s="8" t="n">
        <v>1.5</v>
      </c>
      <c r="J30" s="8" t="n">
        <v>2</v>
      </c>
      <c r="K30" s="8" t="n">
        <v>2</v>
      </c>
      <c r="L30" s="8" t="n">
        <v>2</v>
      </c>
      <c r="M30" s="8" t="n">
        <v>2</v>
      </c>
    </row>
    <row r="32">
      <c r="A32" s="3" t="inlineStr">
        <is>
          <t>UNIT ECONOMICS</t>
        </is>
      </c>
    </row>
    <row r="33">
      <c r="A33" t="inlineStr">
        <is>
          <t>Сплит аренда, €/сделка</t>
        </is>
      </c>
      <c r="B33" s="8" t="n">
        <v>605</v>
      </c>
    </row>
    <row r="34">
      <c r="A34" t="inlineStr">
        <is>
          <t>Сплит продажа, €/сделка</t>
        </is>
      </c>
      <c r="B34" s="8" t="n">
        <v>2400</v>
      </c>
    </row>
    <row r="35">
      <c r="A35" t="inlineStr">
        <is>
          <t>Доля аренды</t>
        </is>
      </c>
      <c r="B35" s="8" t="n">
        <v>0.85</v>
      </c>
    </row>
    <row r="36">
      <c r="A36" t="inlineStr">
        <is>
          <t>B2C fee, €</t>
        </is>
      </c>
      <c r="B36" s="8" t="n">
        <v>149</v>
      </c>
    </row>
    <row r="37">
      <c r="A37" t="inlineStr">
        <is>
          <t>Доля агентских сделок, платящих B2C fee</t>
        </is>
      </c>
      <c r="B37" s="8" t="n">
        <v>0.5</v>
      </c>
    </row>
    <row r="38">
      <c r="A38" t="inlineStr">
        <is>
          <t>Upsell агентствам, €/мес</t>
        </is>
      </c>
      <c r="B38" s="8" t="n">
        <v>0</v>
      </c>
      <c r="C38" s="8" t="n">
        <v>0</v>
      </c>
      <c r="D38" s="8" t="n">
        <v>0</v>
      </c>
      <c r="E38" s="8" t="n">
        <v>0</v>
      </c>
      <c r="F38" s="8" t="n">
        <v>0</v>
      </c>
      <c r="G38" s="8" t="n">
        <v>0</v>
      </c>
      <c r="H38" s="8" t="n">
        <v>0</v>
      </c>
      <c r="I38" s="8" t="n">
        <v>0</v>
      </c>
      <c r="J38" s="8" t="n">
        <v>0</v>
      </c>
      <c r="K38" s="8" t="n">
        <v>0</v>
      </c>
      <c r="L38" s="8" t="n">
        <v>0</v>
      </c>
      <c r="M38" s="8" t="n">
        <v>0</v>
      </c>
      <c r="N38">
        <f>SUM(B38:M38)</f>
        <v/>
      </c>
    </row>
    <row r="40">
      <c r="A40" s="3" t="inlineStr">
        <is>
          <t>ВОРОНКА</t>
        </is>
      </c>
    </row>
    <row r="41">
      <c r="A41" t="inlineStr">
        <is>
          <t>Регистрации: paid</t>
        </is>
      </c>
      <c r="B41">
        <f>B6/$B$7*$B$8</f>
        <v/>
      </c>
      <c r="C41">
        <f>C6/$B$7*$B$8</f>
        <v/>
      </c>
      <c r="D41">
        <f>D6/$B$7*$B$8</f>
        <v/>
      </c>
      <c r="E41">
        <f>E6/$B$7*$B$8</f>
        <v/>
      </c>
      <c r="F41">
        <f>F6/$B$7*$B$8</f>
        <v/>
      </c>
      <c r="G41">
        <f>G6/$B$7*$B$8</f>
        <v/>
      </c>
      <c r="H41">
        <f>H6/$B$7*$B$8</f>
        <v/>
      </c>
      <c r="I41">
        <f>I6/$B$7*$B$8</f>
        <v/>
      </c>
      <c r="J41">
        <f>J6/$B$7*$B$8</f>
        <v/>
      </c>
      <c r="K41">
        <f>K6/$B$7*$B$8</f>
        <v/>
      </c>
      <c r="L41">
        <f>L6/$B$7*$B$8</f>
        <v/>
      </c>
      <c r="M41">
        <f>M6/$B$7*$B$8</f>
        <v/>
      </c>
      <c r="N41">
        <f>SUM(B41:M41)</f>
        <v/>
      </c>
    </row>
    <row r="42">
      <c r="A42" t="inlineStr">
        <is>
          <t>Регистрации: комьюнити</t>
        </is>
      </c>
      <c r="B42">
        <f>B9</f>
        <v/>
      </c>
      <c r="C42">
        <f>C9</f>
        <v/>
      </c>
      <c r="D42">
        <f>D9</f>
        <v/>
      </c>
      <c r="E42">
        <f>E9</f>
        <v/>
      </c>
      <c r="F42">
        <f>F9</f>
        <v/>
      </c>
      <c r="G42">
        <f>G9</f>
        <v/>
      </c>
      <c r="H42">
        <f>H9</f>
        <v/>
      </c>
      <c r="I42">
        <f>I9</f>
        <v/>
      </c>
      <c r="J42">
        <f>J9</f>
        <v/>
      </c>
      <c r="K42">
        <f>K9</f>
        <v/>
      </c>
      <c r="L42">
        <f>L9</f>
        <v/>
      </c>
      <c r="M42">
        <f>M9</f>
        <v/>
      </c>
      <c r="N42">
        <f>SUM(B42:M42)</f>
        <v/>
      </c>
    </row>
    <row r="43">
      <c r="A43" t="inlineStr">
        <is>
          <t>Регистрации: SEO</t>
        </is>
      </c>
      <c r="B43">
        <f>B12*$B$13</f>
        <v/>
      </c>
      <c r="C43">
        <f>C12*$B$13</f>
        <v/>
      </c>
      <c r="D43">
        <f>D12*$B$13</f>
        <v/>
      </c>
      <c r="E43">
        <f>E12*$B$13</f>
        <v/>
      </c>
      <c r="F43">
        <f>F12*$B$13</f>
        <v/>
      </c>
      <c r="G43">
        <f>G12*$B$13</f>
        <v/>
      </c>
      <c r="H43">
        <f>H12*$B$13</f>
        <v/>
      </c>
      <c r="I43">
        <f>I12*$B$13</f>
        <v/>
      </c>
      <c r="J43">
        <f>J12*$B$13</f>
        <v/>
      </c>
      <c r="K43">
        <f>K12*$B$13</f>
        <v/>
      </c>
      <c r="L43">
        <f>L12*$B$13</f>
        <v/>
      </c>
      <c r="M43">
        <f>M12*$B$13</f>
        <v/>
      </c>
      <c r="N43">
        <f>SUM(B43:M43)</f>
        <v/>
      </c>
    </row>
    <row r="44">
      <c r="A44" t="inlineStr">
        <is>
          <t>Регистрации: агентства</t>
        </is>
      </c>
      <c r="B44">
        <f>B14*$B$15*$B$16</f>
        <v/>
      </c>
      <c r="C44">
        <f>C14*$B$15*$B$16</f>
        <v/>
      </c>
      <c r="D44">
        <f>D14*$B$15*$B$16</f>
        <v/>
      </c>
      <c r="E44">
        <f>E14*$B$15*$B$16</f>
        <v/>
      </c>
      <c r="F44">
        <f>F14*$B$15*$B$16</f>
        <v/>
      </c>
      <c r="G44">
        <f>G14*$B$15*$B$16</f>
        <v/>
      </c>
      <c r="H44">
        <f>H14*$B$15*$B$16</f>
        <v/>
      </c>
      <c r="I44">
        <f>I14*$B$15*$B$16</f>
        <v/>
      </c>
      <c r="J44">
        <f>J14*$B$15*$B$16</f>
        <v/>
      </c>
      <c r="K44">
        <f>K14*$B$15*$B$16</f>
        <v/>
      </c>
      <c r="L44">
        <f>L14*$B$15*$B$16</f>
        <v/>
      </c>
      <c r="M44">
        <f>M14*$B$15*$B$16</f>
        <v/>
      </c>
      <c r="N44">
        <f>SUM(B44:M44)</f>
        <v/>
      </c>
    </row>
    <row r="45">
      <c r="A45" t="inlineStr">
        <is>
          <t>Лиды: партнёры (уже квалифицированы)</t>
        </is>
      </c>
      <c r="B45">
        <f>B10*$B$11</f>
        <v/>
      </c>
      <c r="C45">
        <f>C10*$B$11</f>
        <v/>
      </c>
      <c r="D45">
        <f>D10*$B$11</f>
        <v/>
      </c>
      <c r="E45">
        <f>E10*$B$11</f>
        <v/>
      </c>
      <c r="F45">
        <f>F10*$B$11</f>
        <v/>
      </c>
      <c r="G45">
        <f>G10*$B$11</f>
        <v/>
      </c>
      <c r="H45">
        <f>H10*$B$11</f>
        <v/>
      </c>
      <c r="I45">
        <f>I10*$B$11</f>
        <v/>
      </c>
      <c r="J45">
        <f>J10*$B$11</f>
        <v/>
      </c>
      <c r="K45">
        <f>K10*$B$11</f>
        <v/>
      </c>
      <c r="L45">
        <f>L10*$B$11</f>
        <v/>
      </c>
      <c r="M45">
        <f>M10*$B$11</f>
        <v/>
      </c>
      <c r="N45">
        <f>SUM(B45:M45)</f>
        <v/>
      </c>
    </row>
    <row r="46">
      <c r="A46" s="6" t="inlineStr">
        <is>
          <t>Итого регистраций</t>
        </is>
      </c>
      <c r="B46" s="6">
        <f>B41+B42+B43+B44+B45</f>
        <v/>
      </c>
      <c r="C46" s="6">
        <f>C41+C42+C43+C44+C45</f>
        <v/>
      </c>
      <c r="D46" s="6">
        <f>D41+D42+D43+D44+D45</f>
        <v/>
      </c>
      <c r="E46" s="6">
        <f>E41+E42+E43+E44+E45</f>
        <v/>
      </c>
      <c r="F46" s="6">
        <f>F41+F42+F43+F44+F45</f>
        <v/>
      </c>
      <c r="G46" s="6">
        <f>G41+G42+G43+G44+G45</f>
        <v/>
      </c>
      <c r="H46" s="6">
        <f>H41+H42+H43+H44+H45</f>
        <v/>
      </c>
      <c r="I46" s="6">
        <f>I41+I42+I43+I44+I45</f>
        <v/>
      </c>
      <c r="J46" s="6">
        <f>J41+J42+J43+J44+J45</f>
        <v/>
      </c>
      <c r="K46" s="6">
        <f>K41+K42+K43+K44+K45</f>
        <v/>
      </c>
      <c r="L46" s="6">
        <f>L41+L42+L43+L44+L45</f>
        <v/>
      </c>
      <c r="M46" s="6">
        <f>M41+M42+M43+M44+M45</f>
        <v/>
      </c>
      <c r="N46" s="6">
        <f>SUM(B46:M46)</f>
        <v/>
      </c>
    </row>
    <row r="47">
      <c r="A47" t="inlineStr">
        <is>
          <t>Квалифицировано: paid</t>
        </is>
      </c>
      <c r="B47">
        <f>B41*$B$20</f>
        <v/>
      </c>
      <c r="C47">
        <f>C41*$B$20</f>
        <v/>
      </c>
      <c r="D47">
        <f>D41*$B$20</f>
        <v/>
      </c>
      <c r="E47">
        <f>E41*$B$20</f>
        <v/>
      </c>
      <c r="F47">
        <f>F41*$B$20</f>
        <v/>
      </c>
      <c r="G47">
        <f>G41*$B$20</f>
        <v/>
      </c>
      <c r="H47">
        <f>H41*$B$20</f>
        <v/>
      </c>
      <c r="I47">
        <f>I41*$B$20</f>
        <v/>
      </c>
      <c r="J47">
        <f>J41*$B$20</f>
        <v/>
      </c>
      <c r="K47">
        <f>K41*$B$20</f>
        <v/>
      </c>
      <c r="L47">
        <f>L41*$B$20</f>
        <v/>
      </c>
      <c r="M47">
        <f>M41*$B$20</f>
        <v/>
      </c>
      <c r="N47">
        <f>SUM(B47:M47)</f>
        <v/>
      </c>
    </row>
    <row r="48">
      <c r="A48" t="inlineStr">
        <is>
          <t>Квалифицировано: комьюнити</t>
        </is>
      </c>
      <c r="B48">
        <f>B42*$B$21</f>
        <v/>
      </c>
      <c r="C48">
        <f>C42*$B$21</f>
        <v/>
      </c>
      <c r="D48">
        <f>D42*$B$21</f>
        <v/>
      </c>
      <c r="E48">
        <f>E42*$B$21</f>
        <v/>
      </c>
      <c r="F48">
        <f>F42*$B$21</f>
        <v/>
      </c>
      <c r="G48">
        <f>G42*$B$21</f>
        <v/>
      </c>
      <c r="H48">
        <f>H42*$B$21</f>
        <v/>
      </c>
      <c r="I48">
        <f>I42*$B$21</f>
        <v/>
      </c>
      <c r="J48">
        <f>J42*$B$21</f>
        <v/>
      </c>
      <c r="K48">
        <f>K42*$B$21</f>
        <v/>
      </c>
      <c r="L48">
        <f>L42*$B$21</f>
        <v/>
      </c>
      <c r="M48">
        <f>M42*$B$21</f>
        <v/>
      </c>
      <c r="N48">
        <f>SUM(B48:M48)</f>
        <v/>
      </c>
    </row>
    <row r="49">
      <c r="A49" t="inlineStr">
        <is>
          <t>Квалифицировано: SEO</t>
        </is>
      </c>
      <c r="B49">
        <f>B43*$B$23</f>
        <v/>
      </c>
      <c r="C49">
        <f>C43*$B$23</f>
        <v/>
      </c>
      <c r="D49">
        <f>D43*$B$23</f>
        <v/>
      </c>
      <c r="E49">
        <f>E43*$B$23</f>
        <v/>
      </c>
      <c r="F49">
        <f>F43*$B$23</f>
        <v/>
      </c>
      <c r="G49">
        <f>G43*$B$23</f>
        <v/>
      </c>
      <c r="H49">
        <f>H43*$B$23</f>
        <v/>
      </c>
      <c r="I49">
        <f>I43*$B$23</f>
        <v/>
      </c>
      <c r="J49">
        <f>J43*$B$23</f>
        <v/>
      </c>
      <c r="K49">
        <f>K43*$B$23</f>
        <v/>
      </c>
      <c r="L49">
        <f>L43*$B$23</f>
        <v/>
      </c>
      <c r="M49">
        <f>M43*$B$23</f>
        <v/>
      </c>
      <c r="N49">
        <f>SUM(B49:M49)</f>
        <v/>
      </c>
    </row>
    <row r="50">
      <c r="A50" t="inlineStr">
        <is>
          <t>Квалифицировано: агентства</t>
        </is>
      </c>
      <c r="B50">
        <f>B44*$B$25</f>
        <v/>
      </c>
      <c r="C50">
        <f>C44*$B$25</f>
        <v/>
      </c>
      <c r="D50">
        <f>D44*$B$25</f>
        <v/>
      </c>
      <c r="E50">
        <f>E44*$B$25</f>
        <v/>
      </c>
      <c r="F50">
        <f>F44*$B$25</f>
        <v/>
      </c>
      <c r="G50">
        <f>G44*$B$25</f>
        <v/>
      </c>
      <c r="H50">
        <f>H44*$B$25</f>
        <v/>
      </c>
      <c r="I50">
        <f>I44*$B$25</f>
        <v/>
      </c>
      <c r="J50">
        <f>J44*$B$25</f>
        <v/>
      </c>
      <c r="K50">
        <f>K44*$B$25</f>
        <v/>
      </c>
      <c r="L50">
        <f>L44*$B$25</f>
        <v/>
      </c>
      <c r="M50">
        <f>M44*$B$25</f>
        <v/>
      </c>
      <c r="N50">
        <f>SUM(B50:M50)</f>
        <v/>
      </c>
    </row>
    <row r="51">
      <c r="A51" t="inlineStr">
        <is>
          <t>Квалифицировано: партнёры</t>
        </is>
      </c>
      <c r="B51">
        <f>B45*$B$22</f>
        <v/>
      </c>
      <c r="C51">
        <f>C45*$B$22</f>
        <v/>
      </c>
      <c r="D51">
        <f>D45*$B$22</f>
        <v/>
      </c>
      <c r="E51">
        <f>E45*$B$22</f>
        <v/>
      </c>
      <c r="F51">
        <f>F45*$B$22</f>
        <v/>
      </c>
      <c r="G51">
        <f>G45*$B$22</f>
        <v/>
      </c>
      <c r="H51">
        <f>H45*$B$22</f>
        <v/>
      </c>
      <c r="I51">
        <f>I45*$B$22</f>
        <v/>
      </c>
      <c r="J51">
        <f>J45*$B$22</f>
        <v/>
      </c>
      <c r="K51">
        <f>K45*$B$22</f>
        <v/>
      </c>
      <c r="L51">
        <f>L45*$B$22</f>
        <v/>
      </c>
      <c r="M51">
        <f>M45*$B$22</f>
        <v/>
      </c>
      <c r="N51">
        <f>SUM(B51:M51)</f>
        <v/>
      </c>
    </row>
    <row r="52">
      <c r="A52" t="inlineStr">
        <is>
          <t>Квалифицировано: referral</t>
        </is>
      </c>
      <c r="B52" t="n">
        <v>0</v>
      </c>
      <c r="C52">
        <f>B56*$B$17*$B$24</f>
        <v/>
      </c>
      <c r="D52">
        <f>C56*$B$17*$B$24</f>
        <v/>
      </c>
      <c r="E52">
        <f>D56*$B$17*$B$24</f>
        <v/>
      </c>
      <c r="F52">
        <f>E56*$B$17*$B$24</f>
        <v/>
      </c>
      <c r="G52">
        <f>F56*$B$17*$B$24</f>
        <v/>
      </c>
      <c r="H52">
        <f>G56*$B$17*$B$24</f>
        <v/>
      </c>
      <c r="I52">
        <f>H56*$B$17*$B$24</f>
        <v/>
      </c>
      <c r="J52">
        <f>I56*$B$17*$B$24</f>
        <v/>
      </c>
      <c r="K52">
        <f>J56*$B$17*$B$24</f>
        <v/>
      </c>
      <c r="L52">
        <f>K56*$B$17*$B$24</f>
        <v/>
      </c>
      <c r="M52">
        <f>L56*$B$17*$B$24</f>
        <v/>
      </c>
      <c r="N52">
        <f>SUM(B52:M52)</f>
        <v/>
      </c>
    </row>
    <row r="53">
      <c r="A53" s="6" t="inlineStr">
        <is>
          <t>Итого квалифицированных</t>
        </is>
      </c>
      <c r="B53" s="6">
        <f>B47+B48+B49+B50+B51+B52</f>
        <v/>
      </c>
      <c r="C53" s="6">
        <f>C47+C48+C49+C50+C51+C52</f>
        <v/>
      </c>
      <c r="D53" s="6">
        <f>D47+D48+D49+D50+D51+D52</f>
        <v/>
      </c>
      <c r="E53" s="6">
        <f>E47+E48+E49+E50+E51+E52</f>
        <v/>
      </c>
      <c r="F53" s="6">
        <f>F47+F48+F49+F50+F51+F52</f>
        <v/>
      </c>
      <c r="G53" s="6">
        <f>G47+G48+G49+G50+G51+G52</f>
        <v/>
      </c>
      <c r="H53" s="6">
        <f>H47+H48+H49+H50+H51+H52</f>
        <v/>
      </c>
      <c r="I53" s="6">
        <f>I47+I48+I49+I50+I51+I52</f>
        <v/>
      </c>
      <c r="J53" s="6">
        <f>J47+J48+J49+J50+J51+J52</f>
        <v/>
      </c>
      <c r="K53" s="6">
        <f>K47+K48+K49+K50+K51+K52</f>
        <v/>
      </c>
      <c r="L53" s="6">
        <f>L47+L48+L49+L50+L51+L52</f>
        <v/>
      </c>
      <c r="M53" s="6">
        <f>M47+M48+M49+M50+M51+M52</f>
        <v/>
      </c>
      <c r="N53" s="6">
        <f>SUM(B53:M53)</f>
        <v/>
      </c>
    </row>
    <row r="54">
      <c r="A54" t="inlineStr">
        <is>
          <t>Сделки через агентства</t>
        </is>
      </c>
      <c r="B54">
        <f>ROUND(MIN(B53*$B$28,B14*B30),0)</f>
        <v/>
      </c>
      <c r="C54">
        <f>ROUND(MIN(C53*$B$28,C14*C30),0)</f>
        <v/>
      </c>
      <c r="D54">
        <f>ROUND(MIN(D53*$B$28,D14*D30),0)</f>
        <v/>
      </c>
      <c r="E54">
        <f>ROUND(MIN(E53*$B$28,E14*E30),0)</f>
        <v/>
      </c>
      <c r="F54">
        <f>ROUND(MIN(F53*$B$28,F14*F30),0)</f>
        <v/>
      </c>
      <c r="G54">
        <f>ROUND(MIN(G53*$B$28,G14*G30),0)</f>
        <v/>
      </c>
      <c r="H54">
        <f>ROUND(MIN(H53*$B$28,H14*H30),0)</f>
        <v/>
      </c>
      <c r="I54">
        <f>ROUND(MIN(I53*$B$28,I14*I30),0)</f>
        <v/>
      </c>
      <c r="J54">
        <f>ROUND(MIN(J53*$B$28,J14*J30),0)</f>
        <v/>
      </c>
      <c r="K54">
        <f>ROUND(MIN(K53*$B$28,K14*K30),0)</f>
        <v/>
      </c>
      <c r="L54">
        <f>ROUND(MIN(L53*$B$28,L14*L30),0)</f>
        <v/>
      </c>
      <c r="M54">
        <f>ROUND(MIN(M53*$B$28,M14*M30),0)</f>
        <v/>
      </c>
      <c r="N54">
        <f>SUM(B54:M54)</f>
        <v/>
      </c>
    </row>
    <row r="55">
      <c r="A55" t="inlineStr">
        <is>
          <t>Сделки на каталоге IS24</t>
        </is>
      </c>
      <c r="B55">
        <f>ROUND(B53*$B$29,0)</f>
        <v/>
      </c>
      <c r="C55">
        <f>ROUND(C53*$B$29,0)</f>
        <v/>
      </c>
      <c r="D55">
        <f>ROUND(D53*$B$29,0)</f>
        <v/>
      </c>
      <c r="E55">
        <f>ROUND(E53*$B$29,0)</f>
        <v/>
      </c>
      <c r="F55">
        <f>ROUND(F53*$B$29,0)</f>
        <v/>
      </c>
      <c r="G55">
        <f>ROUND(G53*$B$29,0)</f>
        <v/>
      </c>
      <c r="H55">
        <f>ROUND(H53*$B$29,0)</f>
        <v/>
      </c>
      <c r="I55">
        <f>ROUND(I53*$B$29,0)</f>
        <v/>
      </c>
      <c r="J55">
        <f>ROUND(J53*$B$29,0)</f>
        <v/>
      </c>
      <c r="K55">
        <f>ROUND(K53*$B$29,0)</f>
        <v/>
      </c>
      <c r="L55">
        <f>ROUND(L53*$B$29,0)</f>
        <v/>
      </c>
      <c r="M55">
        <f>ROUND(M53*$B$29,0)</f>
        <v/>
      </c>
      <c r="N55">
        <f>SUM(B55:M55)</f>
        <v/>
      </c>
    </row>
    <row r="56">
      <c r="A56" s="6" t="inlineStr">
        <is>
          <t>Сделок всего</t>
        </is>
      </c>
      <c r="B56" s="6">
        <f>B54+B55</f>
        <v/>
      </c>
      <c r="C56" s="6">
        <f>C54+C55</f>
        <v/>
      </c>
      <c r="D56" s="6">
        <f>D54+D55</f>
        <v/>
      </c>
      <c r="E56" s="6">
        <f>E54+E55</f>
        <v/>
      </c>
      <c r="F56" s="6">
        <f>F54+F55</f>
        <v/>
      </c>
      <c r="G56" s="6">
        <f>G54+G55</f>
        <v/>
      </c>
      <c r="H56" s="6">
        <f>H54+H55</f>
        <v/>
      </c>
      <c r="I56" s="6">
        <f>I54+I55</f>
        <v/>
      </c>
      <c r="J56" s="6">
        <f>J54+J55</f>
        <v/>
      </c>
      <c r="K56" s="6">
        <f>K54+K55</f>
        <v/>
      </c>
      <c r="L56" s="6">
        <f>L54+L55</f>
        <v/>
      </c>
      <c r="M56" s="6">
        <f>M54+M55</f>
        <v/>
      </c>
      <c r="N56" s="6">
        <f>SUM(B56:M56)</f>
        <v/>
      </c>
    </row>
    <row r="57">
      <c r="A57" t="inlineStr">
        <is>
          <t>Сделок с B2C fee</t>
        </is>
      </c>
      <c r="B57">
        <f>B55+ROUND(B54*$B$37,0)</f>
        <v/>
      </c>
      <c r="C57">
        <f>C55+ROUND(C54*$B$37,0)</f>
        <v/>
      </c>
      <c r="D57">
        <f>D55+ROUND(D54*$B$37,0)</f>
        <v/>
      </c>
      <c r="E57">
        <f>E55+ROUND(E54*$B$37,0)</f>
        <v/>
      </c>
      <c r="F57">
        <f>F55+ROUND(F54*$B$37,0)</f>
        <v/>
      </c>
      <c r="G57">
        <f>G55+ROUND(G54*$B$37,0)</f>
        <v/>
      </c>
      <c r="H57">
        <f>H55+ROUND(H54*$B$37,0)</f>
        <v/>
      </c>
      <c r="I57">
        <f>I55+ROUND(I54*$B$37,0)</f>
        <v/>
      </c>
      <c r="J57">
        <f>J55+ROUND(J54*$B$37,0)</f>
        <v/>
      </c>
      <c r="K57">
        <f>K55+ROUND(K54*$B$37,0)</f>
        <v/>
      </c>
      <c r="L57">
        <f>L55+ROUND(L54*$B$37,0)</f>
        <v/>
      </c>
      <c r="M57">
        <f>M55+ROUND(M54*$B$37,0)</f>
        <v/>
      </c>
      <c r="N57">
        <f>SUM(B57:M57)</f>
        <v/>
      </c>
    </row>
    <row r="59">
      <c r="A59" s="3" t="inlineStr">
        <is>
          <t>ВЫРУЧКА</t>
        </is>
      </c>
    </row>
    <row r="60">
      <c r="A60" t="inlineStr">
        <is>
          <t>R1+R2: сплит комиссии (аренда/продажа)</t>
        </is>
      </c>
      <c r="B60">
        <f>ROUND(B54*($B$35*$B$33+(1-$B$35)*$B$34),0)</f>
        <v/>
      </c>
      <c r="C60">
        <f>ROUND(C54*($B$35*$B$33+(1-$B$35)*$B$34),0)</f>
        <v/>
      </c>
      <c r="D60">
        <f>ROUND(D54*($B$35*$B$33+(1-$B$35)*$B$34),0)</f>
        <v/>
      </c>
      <c r="E60">
        <f>ROUND(E54*($B$35*$B$33+(1-$B$35)*$B$34),0)</f>
        <v/>
      </c>
      <c r="F60">
        <f>ROUND(F54*($B$35*$B$33+(1-$B$35)*$B$34),0)</f>
        <v/>
      </c>
      <c r="G60">
        <f>ROUND(G54*($B$35*$B$33+(1-$B$35)*$B$34),0)</f>
        <v/>
      </c>
      <c r="H60">
        <f>ROUND(H54*($B$35*$B$33+(1-$B$35)*$B$34),0)</f>
        <v/>
      </c>
      <c r="I60">
        <f>ROUND(I54*($B$35*$B$33+(1-$B$35)*$B$34),0)</f>
        <v/>
      </c>
      <c r="J60">
        <f>ROUND(J54*($B$35*$B$33+(1-$B$35)*$B$34),0)</f>
        <v/>
      </c>
      <c r="K60">
        <f>ROUND(K54*($B$35*$B$33+(1-$B$35)*$B$34),0)</f>
        <v/>
      </c>
      <c r="L60">
        <f>ROUND(L54*($B$35*$B$33+(1-$B$35)*$B$34),0)</f>
        <v/>
      </c>
      <c r="M60">
        <f>ROUND(M54*($B$35*$B$33+(1-$B$35)*$B$34),0)</f>
        <v/>
      </c>
      <c r="N60">
        <f>SUM(B60:M60)</f>
        <v/>
      </c>
    </row>
    <row r="61">
      <c r="A61" t="inlineStr">
        <is>
          <t>R3: B2C fee</t>
        </is>
      </c>
      <c r="B61">
        <f>B57*$B$36</f>
        <v/>
      </c>
      <c r="C61">
        <f>C57*$B$36</f>
        <v/>
      </c>
      <c r="D61">
        <f>D57*$B$36</f>
        <v/>
      </c>
      <c r="E61">
        <f>E57*$B$36</f>
        <v/>
      </c>
      <c r="F61">
        <f>F57*$B$36</f>
        <v/>
      </c>
      <c r="G61">
        <f>G57*$B$36</f>
        <v/>
      </c>
      <c r="H61">
        <f>H57*$B$36</f>
        <v/>
      </c>
      <c r="I61">
        <f>I57*$B$36</f>
        <v/>
      </c>
      <c r="J61">
        <f>J57*$B$36</f>
        <v/>
      </c>
      <c r="K61">
        <f>K57*$B$36</f>
        <v/>
      </c>
      <c r="L61">
        <f>L57*$B$36</f>
        <v/>
      </c>
      <c r="M61">
        <f>M57*$B$36</f>
        <v/>
      </c>
      <c r="N61">
        <f>SUM(B61:M61)</f>
        <v/>
      </c>
    </row>
    <row r="62">
      <c r="A62" t="inlineStr">
        <is>
          <t>R4: upsell</t>
        </is>
      </c>
      <c r="B62">
        <f>B38</f>
        <v/>
      </c>
      <c r="C62">
        <f>C38</f>
        <v/>
      </c>
      <c r="D62">
        <f>D38</f>
        <v/>
      </c>
      <c r="E62">
        <f>E38</f>
        <v/>
      </c>
      <c r="F62">
        <f>F38</f>
        <v/>
      </c>
      <c r="G62">
        <f>G38</f>
        <v/>
      </c>
      <c r="H62">
        <f>H38</f>
        <v/>
      </c>
      <c r="I62">
        <f>I38</f>
        <v/>
      </c>
      <c r="J62">
        <f>J38</f>
        <v/>
      </c>
      <c r="K62">
        <f>K38</f>
        <v/>
      </c>
      <c r="L62">
        <f>L38</f>
        <v/>
      </c>
      <c r="M62">
        <f>M38</f>
        <v/>
      </c>
      <c r="N62">
        <f>SUM(B62:M62)</f>
        <v/>
      </c>
    </row>
    <row r="63">
      <c r="A63" s="6" t="inlineStr">
        <is>
          <t>TOTAL REVENUE</t>
        </is>
      </c>
      <c r="B63" s="6">
        <f>B60+B61+B62</f>
        <v/>
      </c>
      <c r="C63" s="6">
        <f>C60+C61+C62</f>
        <v/>
      </c>
      <c r="D63" s="6">
        <f>D60+D61+D62</f>
        <v/>
      </c>
      <c r="E63" s="6">
        <f>E60+E61+E62</f>
        <v/>
      </c>
      <c r="F63" s="6">
        <f>F60+F61+F62</f>
        <v/>
      </c>
      <c r="G63" s="6">
        <f>G60+G61+G62</f>
        <v/>
      </c>
      <c r="H63" s="6">
        <f>H60+H61+H62</f>
        <v/>
      </c>
      <c r="I63" s="6">
        <f>I60+I61+I62</f>
        <v/>
      </c>
      <c r="J63" s="6">
        <f>J60+J61+J62</f>
        <v/>
      </c>
      <c r="K63" s="6">
        <f>K60+K61+K62</f>
        <v/>
      </c>
      <c r="L63" s="6">
        <f>L60+L61+L62</f>
        <v/>
      </c>
      <c r="M63" s="6">
        <f>M60+M61+M62</f>
        <v/>
      </c>
      <c r="N63" s="6">
        <f>SUM(B63:M63)</f>
        <v/>
      </c>
    </row>
    <row r="65">
      <c r="A65" s="3" t="inlineStr">
        <is>
          <t>РАСХОДЫ</t>
        </is>
      </c>
    </row>
    <row r="66">
      <c r="A66" t="inlineStr">
        <is>
          <t>Маркетинг: paid</t>
        </is>
      </c>
      <c r="B66">
        <f>B6</f>
        <v/>
      </c>
      <c r="C66">
        <f>C6</f>
        <v/>
      </c>
      <c r="D66">
        <f>D6</f>
        <v/>
      </c>
      <c r="E66">
        <f>E6</f>
        <v/>
      </c>
      <c r="F66">
        <f>F6</f>
        <v/>
      </c>
      <c r="G66">
        <f>G6</f>
        <v/>
      </c>
      <c r="H66">
        <f>H6</f>
        <v/>
      </c>
      <c r="I66">
        <f>I6</f>
        <v/>
      </c>
      <c r="J66">
        <f>J6</f>
        <v/>
      </c>
      <c r="K66">
        <f>K6</f>
        <v/>
      </c>
      <c r="L66">
        <f>L6</f>
        <v/>
      </c>
      <c r="M66">
        <f>M6</f>
        <v/>
      </c>
      <c r="N66">
        <f>SUM(B66:M66)</f>
        <v/>
      </c>
    </row>
    <row r="67">
      <c r="A67" t="inlineStr">
        <is>
          <t>Контент / SEO</t>
        </is>
      </c>
      <c r="B67" s="8" t="n">
        <v>500</v>
      </c>
      <c r="C67" s="8" t="n">
        <v>500</v>
      </c>
      <c r="D67" s="8" t="n">
        <v>500</v>
      </c>
      <c r="E67" s="8" t="n">
        <v>500</v>
      </c>
      <c r="F67" s="8" t="n">
        <v>500</v>
      </c>
      <c r="G67" s="8" t="n">
        <v>500</v>
      </c>
      <c r="H67" s="8" t="n">
        <v>500</v>
      </c>
      <c r="I67" s="8" t="n">
        <v>500</v>
      </c>
      <c r="J67" s="8" t="n">
        <v>500</v>
      </c>
      <c r="K67" s="8" t="n">
        <v>500</v>
      </c>
      <c r="L67" s="8" t="n">
        <v>500</v>
      </c>
      <c r="M67" s="8" t="n">
        <v>500</v>
      </c>
      <c r="N67">
        <f>SUM(B67:M67)</f>
        <v/>
      </c>
    </row>
    <row r="68">
      <c r="A68" t="inlineStr">
        <is>
          <t>BD: агентства + партнёрства + комьюнити</t>
        </is>
      </c>
      <c r="B68" s="8" t="n">
        <v>1500</v>
      </c>
      <c r="C68" s="8" t="n">
        <v>1500</v>
      </c>
      <c r="D68" s="8" t="n">
        <v>1500</v>
      </c>
      <c r="E68" s="8" t="n">
        <v>2000</v>
      </c>
      <c r="F68" s="8" t="n">
        <v>2000</v>
      </c>
      <c r="G68" s="8" t="n">
        <v>2000</v>
      </c>
      <c r="H68" s="8" t="n">
        <v>2500</v>
      </c>
      <c r="I68" s="8" t="n">
        <v>2500</v>
      </c>
      <c r="J68" s="8" t="n">
        <v>2500</v>
      </c>
      <c r="K68" s="8" t="n">
        <v>2500</v>
      </c>
      <c r="L68" s="8" t="n">
        <v>3000</v>
      </c>
      <c r="M68" s="8" t="n">
        <v>3000</v>
      </c>
      <c r="N68">
        <f>SUM(B68:M68)</f>
        <v/>
      </c>
    </row>
    <row r="69">
      <c r="A69" t="inlineStr">
        <is>
          <t>Команда: dev / support (контракторы)</t>
        </is>
      </c>
      <c r="B69" s="8" t="n">
        <v>3000</v>
      </c>
      <c r="C69" s="8" t="n">
        <v>3000</v>
      </c>
      <c r="D69" s="8" t="n">
        <v>3000</v>
      </c>
      <c r="E69" s="8" t="n">
        <v>3500</v>
      </c>
      <c r="F69" s="8" t="n">
        <v>3500</v>
      </c>
      <c r="G69" s="8" t="n">
        <v>3500</v>
      </c>
      <c r="H69" s="8" t="n">
        <v>4000</v>
      </c>
      <c r="I69" s="8" t="n">
        <v>4000</v>
      </c>
      <c r="J69" s="8" t="n">
        <v>4000</v>
      </c>
      <c r="K69" s="8" t="n">
        <v>4500</v>
      </c>
      <c r="L69" s="8" t="n">
        <v>4500</v>
      </c>
      <c r="M69" s="8" t="n">
        <v>4500</v>
      </c>
      <c r="N69">
        <f>SUM(B69:M69)</f>
        <v/>
      </c>
    </row>
    <row r="70">
      <c r="A70" t="inlineStr">
        <is>
          <t>Инфраструктура + AI API</t>
        </is>
      </c>
      <c r="B70" s="8" t="n">
        <v>700</v>
      </c>
      <c r="C70" s="8" t="n">
        <v>750</v>
      </c>
      <c r="D70" s="8" t="n">
        <v>800</v>
      </c>
      <c r="E70" s="8" t="n">
        <v>850</v>
      </c>
      <c r="F70" s="8" t="n">
        <v>900</v>
      </c>
      <c r="G70" s="8" t="n">
        <v>950</v>
      </c>
      <c r="H70" s="8" t="n">
        <v>1000</v>
      </c>
      <c r="I70" s="8" t="n">
        <v>1050</v>
      </c>
      <c r="J70" s="8" t="n">
        <v>1100</v>
      </c>
      <c r="K70" s="8" t="n">
        <v>1150</v>
      </c>
      <c r="L70" s="8" t="n">
        <v>1200</v>
      </c>
      <c r="M70" s="8" t="n">
        <v>1250</v>
      </c>
      <c r="N70">
        <f>SUM(B70:M70)</f>
        <v/>
      </c>
    </row>
    <row r="71">
      <c r="A71" t="inlineStr">
        <is>
          <t>Tools, legal, прочее</t>
        </is>
      </c>
      <c r="B71" s="8" t="n">
        <v>500</v>
      </c>
      <c r="C71" s="8" t="n">
        <v>500</v>
      </c>
      <c r="D71" s="8" t="n">
        <v>500</v>
      </c>
      <c r="E71" s="8" t="n">
        <v>600</v>
      </c>
      <c r="F71" s="8" t="n">
        <v>600</v>
      </c>
      <c r="G71" s="8" t="n">
        <v>600</v>
      </c>
      <c r="H71" s="8" t="n">
        <v>700</v>
      </c>
      <c r="I71" s="8" t="n">
        <v>700</v>
      </c>
      <c r="J71" s="8" t="n">
        <v>700</v>
      </c>
      <c r="K71" s="8" t="n">
        <v>800</v>
      </c>
      <c r="L71" s="8" t="n">
        <v>800</v>
      </c>
      <c r="M71" s="8" t="n">
        <v>800</v>
      </c>
      <c r="N71">
        <f>SUM(B71:M71)</f>
        <v/>
      </c>
    </row>
    <row r="72">
      <c r="A72" s="6" t="inlineStr">
        <is>
          <t>TOTAL COSTS</t>
        </is>
      </c>
      <c r="B72" s="6">
        <f>B66+B67+B68+B69+B70+B71</f>
        <v/>
      </c>
      <c r="C72" s="6">
        <f>C66+C67+C68+C69+C70+C71</f>
        <v/>
      </c>
      <c r="D72" s="6">
        <f>D66+D67+D68+D69+D70+D71</f>
        <v/>
      </c>
      <c r="E72" s="6">
        <f>E66+E67+E68+E69+E70+E71</f>
        <v/>
      </c>
      <c r="F72" s="6">
        <f>F66+F67+F68+F69+F70+F71</f>
        <v/>
      </c>
      <c r="G72" s="6">
        <f>G66+G67+G68+G69+G70+G71</f>
        <v/>
      </c>
      <c r="H72" s="6">
        <f>H66+H67+H68+H69+H70+H71</f>
        <v/>
      </c>
      <c r="I72" s="6">
        <f>I66+I67+I68+I69+I70+I71</f>
        <v/>
      </c>
      <c r="J72" s="6">
        <f>J66+J67+J68+J69+J70+J71</f>
        <v/>
      </c>
      <c r="K72" s="6">
        <f>K66+K67+K68+K69+K70+K71</f>
        <v/>
      </c>
      <c r="L72" s="6">
        <f>L66+L67+L68+L69+L70+L71</f>
        <v/>
      </c>
      <c r="M72" s="6">
        <f>M66+M67+M68+M69+M70+M71</f>
        <v/>
      </c>
      <c r="N72" s="6">
        <f>SUM(B72:M72)</f>
        <v/>
      </c>
    </row>
    <row r="74">
      <c r="A74" s="6" t="inlineStr">
        <is>
          <t>EBITDA</t>
        </is>
      </c>
      <c r="B74" s="6">
        <f>B63-B72</f>
        <v/>
      </c>
      <c r="C74" s="6">
        <f>C63-C72</f>
        <v/>
      </c>
      <c r="D74" s="6">
        <f>D63-D72</f>
        <v/>
      </c>
      <c r="E74" s="6">
        <f>E63-E72</f>
        <v/>
      </c>
      <c r="F74" s="6">
        <f>F63-F72</f>
        <v/>
      </c>
      <c r="G74" s="6">
        <f>G63-G72</f>
        <v/>
      </c>
      <c r="H74" s="6">
        <f>H63-H72</f>
        <v/>
      </c>
      <c r="I74" s="6">
        <f>I63-I72</f>
        <v/>
      </c>
      <c r="J74" s="6">
        <f>J63-J72</f>
        <v/>
      </c>
      <c r="K74" s="6">
        <f>K63-K72</f>
        <v/>
      </c>
      <c r="L74" s="6">
        <f>L63-L72</f>
        <v/>
      </c>
      <c r="M74" s="6">
        <f>M63-M72</f>
        <v/>
      </c>
      <c r="N74" s="6">
        <f>SUM(B74:M74)</f>
        <v/>
      </c>
    </row>
    <row r="75">
      <c r="A75" t="inlineStr">
        <is>
          <t>Кэш (старт €18,000)</t>
        </is>
      </c>
      <c r="B75">
        <f>18000+B74</f>
        <v/>
      </c>
      <c r="C75">
        <f>B75+C74</f>
        <v/>
      </c>
      <c r="D75">
        <f>C75+D74</f>
        <v/>
      </c>
      <c r="E75">
        <f>D75+E74</f>
        <v/>
      </c>
      <c r="F75">
        <f>E75+F74</f>
        <v/>
      </c>
      <c r="G75">
        <f>F75+G74</f>
        <v/>
      </c>
      <c r="H75">
        <f>G75+H74</f>
        <v/>
      </c>
      <c r="I75">
        <f>H75+I74</f>
        <v/>
      </c>
      <c r="J75">
        <f>I75+J74</f>
        <v/>
      </c>
      <c r="K75">
        <f>J75+K74</f>
        <v/>
      </c>
      <c r="L75">
        <f>K75+L74</f>
        <v/>
      </c>
      <c r="M75">
        <f>L75+M74</f>
        <v/>
      </c>
    </row>
    <row r="77">
      <c r="A77" s="3" t="inlineStr">
        <is>
          <t>ЮНИТ-ЭКОНОМИКА (год)</t>
        </is>
      </c>
    </row>
    <row r="78">
      <c r="A78" t="inlineStr">
        <is>
          <t>CAC на квалифицированного лида, €</t>
        </is>
      </c>
      <c r="B78">
        <f>ROUND(N6/N53,0)</f>
        <v/>
      </c>
    </row>
    <row r="79">
      <c r="A79" t="inlineStr">
        <is>
          <t>CAC на сделку, €</t>
        </is>
      </c>
      <c r="B79">
        <f>ROUND(N6/N56,0)</f>
        <v/>
      </c>
    </row>
    <row r="80">
      <c r="A80" t="inlineStr">
        <is>
          <t>Выручка на агентскую сделку, €</t>
        </is>
      </c>
      <c r="B80">
        <f>ROUND($B$35*$B$33+(1-$B$35)*$B$34,0)</f>
        <v/>
      </c>
    </row>
    <row r="81">
      <c r="A81" t="inlineStr">
        <is>
          <t>LTV / CAC (агентский канал)</t>
        </is>
      </c>
      <c r="B81">
        <f>ROUND(B80/B79,1)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2026-09-08T08:40:20Z</dcterms:created>
  <dcterms:modified xmlns:dcterms="http://purl.org/dc/terms/" xmlns:xsi="http://www.w3.org/2001/XMLSchema-instance" xsi:type="dcterms:W3CDTF">2026-09-08T08:40:20Z</dcterms:modified>
</cp:coreProperties>
</file>